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Model - Example" sheetId="2" state="visible" r:id="rId2"/>
    <sheet name="household" sheetId="3" state="visible" r:id="rId3"/>
    <sheet name="budget" sheetId="4" state="visible" r:id="rId4"/>
    <sheet name="kids_budget" sheetId="5" state="visible" r:id="rId5"/>
    <sheet name="other_budget" sheetId="6" state="visible" r:id="rId6"/>
    <sheet name="properties" sheetId="7" state="visible" r:id="rId7"/>
    <sheet name="healthcare" sheetId="8" state="visible" r:id="rId8"/>
    <sheet name="assets" sheetId="9" state="visible" r:id="rId9"/>
    <sheet name="tax_tables" sheetId="10" state="visible" r:id="rId10"/>
    <sheet name="historical_returns" sheetId="11" state="visible" r:id="rId11"/>
    <sheet name="life_table" sheetId="12" state="visible" r:id="rId12"/>
    <sheet name="monte_carlo" sheetId="13" state="visible" r:id="rId13"/>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5">
    <font>
      <name val="Calibri"/>
      <family val="2"/>
      <color theme="1"/>
      <sz val="11"/>
      <scheme val="minor"/>
    </font>
    <font>
      <b val="1"/>
    </font>
    <font>
      <b val="1"/>
      <sz val="14"/>
    </font>
    <font>
      <b val="1"/>
      <color rgb="00FFFFFF"/>
    </font>
    <font>
      <i val="1"/>
      <color rgb="00808080"/>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1F4E78"/>
      </patternFill>
    </fill>
    <fill>
      <patternFill patternType="solid">
        <fgColor rgb="00E2EFDA"/>
      </patternFill>
    </fill>
  </fills>
  <borders count="1">
    <border>
      <left/>
      <right/>
      <top/>
      <bottom/>
      <diagonal/>
    </border>
  </borders>
  <cellStyleXfs count="1">
    <xf numFmtId="0" fontId="0" fillId="0" borderId="0"/>
  </cellStyleXfs>
  <cellXfs count="28">
    <xf numFmtId="0" fontId="0" fillId="0" borderId="0" pivotButton="0" quotePrefix="0" xfId="0"/>
    <xf numFmtId="0" fontId="2" fillId="0" borderId="0" pivotButton="0" quotePrefix="0" xfId="0"/>
    <xf numFmtId="0" fontId="1" fillId="0" borderId="0" pivotButton="0" quotePrefix="0" xfId="0"/>
    <xf numFmtId="0" fontId="0" fillId="0" borderId="0" applyAlignment="1" pivotButton="0" quotePrefix="0" xfId="0">
      <alignment vertical="top" wrapText="1"/>
    </xf>
    <xf numFmtId="0" fontId="3" fillId="5" borderId="0" pivotButton="0" quotePrefix="0" xfId="0"/>
    <xf numFmtId="0" fontId="0" fillId="5" borderId="0" pivotButton="0" quotePrefix="0" xfId="0"/>
    <xf numFmtId="1" fontId="0" fillId="3" borderId="0" pivotButton="0" quotePrefix="0" xfId="0"/>
    <xf numFmtId="3" fontId="1" fillId="6" borderId="0" pivotButton="0" quotePrefix="0" xfId="0"/>
    <xf numFmtId="3" fontId="0" fillId="3" borderId="0" pivotButton="0" quotePrefix="0" xfId="0"/>
    <xf numFmtId="1" fontId="1" fillId="6" borderId="0" pivotButton="0" quotePrefix="0" xfId="0"/>
    <xf numFmtId="164" fontId="1" fillId="6" borderId="0" pivotButton="0" quotePrefix="0" xfId="0"/>
    <xf numFmtId="164" fontId="0" fillId="3" borderId="0" pivotButton="0" quotePrefix="0" xfId="0"/>
    <xf numFmtId="1" fontId="0" fillId="0" borderId="0" pivotButton="0" quotePrefix="0" xfId="0"/>
    <xf numFmtId="165" fontId="0" fillId="0" borderId="0" pivotButton="0" quotePrefix="0" xfId="0"/>
    <xf numFmtId="9" fontId="0" fillId="3" borderId="0" pivotButton="0" quotePrefix="0" xfId="0"/>
    <xf numFmtId="3" fontId="0" fillId="0" borderId="0" pivotButton="0" quotePrefix="0" xfId="0"/>
    <xf numFmtId="0" fontId="1" fillId="2" borderId="0" applyAlignment="1" pivotButton="0" quotePrefix="0" xfId="0">
      <alignment vertical="top" wrapText="1"/>
    </xf>
    <xf numFmtId="1" fontId="0" fillId="4" borderId="0" pivotButton="0" quotePrefix="0" xfId="0"/>
    <xf numFmtId="3" fontId="0" fillId="4" borderId="0" pivotButton="0" quotePrefix="0" xfId="0"/>
    <xf numFmtId="0" fontId="1" fillId="2" borderId="0" pivotButton="0" quotePrefix="0" xfId="0"/>
    <xf numFmtId="0" fontId="0" fillId="3" borderId="0" pivotButton="0" quotePrefix="0" xfId="0"/>
    <xf numFmtId="0" fontId="4" fillId="0" borderId="0" pivotButton="0" quotePrefix="0" xfId="0"/>
    <xf numFmtId="164" fontId="0" fillId="0" borderId="0" pivotButton="0" quotePrefix="0" xfId="0"/>
    <xf numFmtId="3" fontId="0" fillId="6" borderId="0" pivotButton="0" quotePrefix="0" xfId="0"/>
    <xf numFmtId="0" fontId="0" fillId="4" borderId="0" pivotButton="0" quotePrefix="0" xfId="0"/>
    <xf numFmtId="3" fontId="1" fillId="0" borderId="0" pivotButton="0" quotePrefix="0" xfId="0"/>
    <xf numFmtId="10" fontId="0" fillId="3"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omments/comment1.xml><?xml version="1.0" encoding="utf-8"?>
<comments xmlns="http://schemas.openxmlformats.org/spreadsheetml/2006/main">
  <authors>
    <author>model</author>
  </authors>
  <commentList>
    <comment ref="G91" authorId="0" shapeId="0">
      <text>
        <t>Everything withdrawn from your accounts this year (incl. required withdrawals and dividends), less anything reinvested</t>
      </text>
    </comment>
    <comment ref="J91" authorId="0" shapeId="0">
      <text>
        <t>Investments + home and property equity, in today's dollars. Before any tax due on death</t>
      </text>
    </comment>
    <comment ref="K91" authorId="0" shapeId="0">
      <text>
        <t>Non-zero means every account is empty - you'd have to sell property or cut spending</t>
      </text>
    </comment>
    <comment ref="L91" authorId="0" shapeId="0">
      <text>
        <t>Type a return for any year to test a bad sequence, e.g. -20% then 0% for ten years</t>
      </text>
    </comment>
    <comment ref="N91" authorId="0" shapeId="0">
      <text>
        <t>Scale the household budget in any year, e.g. 90% from the year you downsize, 70% in a belt-tightening scenario</t>
      </text>
    </comment>
    <comment ref="P91" authorId="0" shapeId="0">
      <text>
        <t>Price level vs TAX_YEAR: indexed tax amounts grow with it</t>
      </text>
    </comment>
    <comment ref="AP91" authorId="0" shapeId="0">
      <text>
        <t>Paid off from the sale proceeds if you sell</t>
      </text>
    </comment>
    <comment ref="BA91" authorId="0" shapeId="0">
      <text>
        <t>What's left stays the kids' money</t>
      </text>
    </comment>
    <comment ref="BE91" authorId="0" shapeId="0">
      <text>
        <t>Unsubsidized</t>
      </text>
    </comment>
    <comment ref="BJ91" authorId="0" shapeId="0">
      <text>
        <t>Based on income two years earlier</t>
      </text>
    </comment>
    <comment ref="BO91" authorId="0" shapeId="0">
      <text>
        <t>Out-of-pocket, Medicare B/D premiums, IRMAA and long-term care are HSA-eligible</t>
      </text>
    </comment>
    <comment ref="BQ91" authorId="0" shapeId="0">
      <text>
        <t>Other properties' rent less all their cash costs, unless sold or changed on this tab</t>
      </text>
    </comment>
    <comment ref="BS91" authorId="0" shapeId="0">
      <text>
        <t>Losses aren't deducted (conservative)</t>
      </text>
    </comment>
    <comment ref="CN91" authorId="0" shapeId="0">
      <text>
        <t>Taxes are settled the following April; negative = refund</t>
      </text>
    </comment>
    <comment ref="CQ91" authorId="0" shapeId="0">
      <text>
        <t>Order: taxable first, then pre-tax (split by what each of you has), then Roth, then HSA</t>
      </text>
    </comment>
    <comment ref="CX91" authorId="0" shapeId="0">
      <text>
        <t>Pre-tax money left after withdrawals, moved to the Roth</t>
      </text>
    </comment>
    <comment ref="DN91" authorId="0" shapeId="0">
      <text>
        <t>$6,000 per person 65+ in 2025-2028, on top of the standard or itemized deduction</t>
      </text>
    </comment>
    <comment ref="DP91" authorId="0" shapeId="0">
      <text>
        <t>Premiums, out-of-pocket and long-term care above 7.5% of AGI</t>
      </text>
    </comment>
    <comment ref="DQ91" authorId="0" shapeId="0">
      <text>
        <t>Mortgage interest, state/local and property taxes (capped), medical, charity</t>
      </text>
    </comment>
    <comment ref="DU91" authorId="0" shapeId="0">
      <text>
        <t>Brackets + gains stacked on top + 3.8% investment tax + recapture</t>
      </text>
    </comment>
    <comment ref="EC91" authorId="0" shapeId="0">
      <text>
        <t>Your accounts; excludes the kids' college funds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50" customWidth="1" min="1" max="1"/>
  </cols>
  <sheetData>
    <row r="1">
      <c r="A1" s="1" t="inlineStr">
        <is>
          <t>Retirement plan</t>
        </is>
      </c>
    </row>
    <row r="2">
      <c r="A2" t="inlineStr">
        <is>
          <t>A year-by-year retirement model for a couple, with a Monte Carlo test against history. See the project README for how to use it with Claude.</t>
        </is>
      </c>
    </row>
    <row r="3">
      <c r="A3" t="inlineStr"/>
    </row>
    <row r="4">
      <c r="A4" s="2" t="inlineStr">
        <is>
          <t>Tabs</t>
        </is>
      </c>
    </row>
    <row r="5">
      <c r="A5" t="inlineStr">
        <is>
          <t>Model - ...: a scenario. Yellow cells are its inputs (when you stop working, pensions, property sales, one-off events). Duplicate the tab to try another scenario.</t>
        </is>
      </c>
    </row>
    <row r="6">
      <c r="A6" t="inlineStr">
        <is>
          <t>household: names, birth years, Social Security benefits, kids.</t>
        </is>
      </c>
    </row>
    <row r="7">
      <c r="A7" t="inlineStr">
        <is>
          <t>budget: 12 months of spending by category (the statement pipeline fills it). The retirement_budget column is what the model spends.</t>
        </is>
      </c>
    </row>
    <row r="8">
      <c r="A8" t="inlineStr">
        <is>
          <t>kids_budget: one line per kid and cost (support, college, help after college), each with its own years and amount.</t>
        </is>
      </c>
    </row>
    <row r="9">
      <c r="A9" t="inlineStr">
        <is>
          <t>other_budget: renovations, cars and other big irregular costs, per year.</t>
        </is>
      </c>
    </row>
    <row r="10">
      <c r="A10" t="inlineStr">
        <is>
          <t>properties: your home and any other properties.</t>
        </is>
      </c>
    </row>
    <row r="11">
      <c r="A11" t="inlineStr">
        <is>
          <t>healthcare: marketplace, Medicare and long-term care costs.</t>
        </is>
      </c>
    </row>
    <row r="12">
      <c r="A12" t="inlineStr">
        <is>
          <t>assets: every account, its balance and which bucket it feeds.</t>
        </is>
      </c>
    </row>
    <row r="13">
      <c r="A13" t="inlineStr">
        <is>
          <t>tax_tables: the tax law the model uses (federal + your state). Edit to change state/province or update the law.</t>
        </is>
      </c>
    </row>
    <row r="14">
      <c r="A14" t="inlineStr">
        <is>
          <t>monte_carlo: settings and results of the Monte Carlo, which compares every Model tab (run it from the command line).</t>
        </is>
      </c>
    </row>
    <row r="15">
      <c r="A15" t="inlineStr">
        <is>
          <t>historical_returns, life_table: data for the Monte Carlo.</t>
        </is>
      </c>
    </row>
    <row r="16">
      <c r="A16" t="inlineStr"/>
    </row>
    <row r="17">
      <c r="A17" s="2" t="inlineStr">
        <is>
          <t>What the model does each year</t>
        </is>
      </c>
    </row>
    <row r="18">
      <c r="A18" t="inlineStr">
        <is>
          <t>1. Adds up living costs: household budget, housing, kids, college shortfall, other costs, healthcare, long-term care, one-off expenses.</t>
        </is>
      </c>
    </row>
    <row r="19">
      <c r="A19" t="inlineStr">
        <is>
          <t>2. Adds up income: take-home pay, Social Security, property income, dividends, required withdrawals, sales, one-off income.</t>
        </is>
      </c>
    </row>
    <row r="20">
      <c r="A20" t="inlineStr">
        <is>
          <t>3. Covers any gap from taxable accounts, then pre-tax (401k/IRA), then Roth, then HSA; a surplus is reinvested.</t>
        </is>
      </c>
    </row>
    <row r="21">
      <c r="A21" t="inlineStr">
        <is>
          <t>4. Computes that year's income tax on what actually happened and pays it the following April.</t>
        </is>
      </c>
    </row>
    <row r="22">
      <c r="A22" t="inlineStr"/>
    </row>
    <row r="23">
      <c r="A23" t="inlineStr">
        <is>
          <t>Colors: yellow = input you can change; green = headline result; blue bands group the model columns.</t>
        </is>
      </c>
    </row>
    <row r="24">
      <c r="A24" t="inlineStr">
        <is>
          <t>Not financial advice. Tax rules are simplified; check important decisions with a professional.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D135"/>
  <sheetViews>
    <sheetView workbookViewId="0">
      <pane xSplit="1" topLeftCell="B1" activePane="topRight" state="frozen"/>
      <selection pane="topRight" activeCell="A1" sqref="A1"/>
    </sheetView>
  </sheetViews>
  <sheetFormatPr baseColWidth="8" defaultRowHeight="15"/>
  <cols>
    <col width="46" customWidth="1" min="1" max="1"/>
    <col width="13" customWidth="1" min="2" max="2"/>
    <col width="13" customWidth="1" min="3" max="3"/>
    <col width="12" customWidth="1" min="4" max="4"/>
    <col width="40"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 width="12" customWidth="1" min="75" max="75"/>
    <col width="12" customWidth="1" min="76" max="76"/>
    <col width="12" customWidth="1" min="77" max="77"/>
    <col width="12" customWidth="1" min="78" max="78"/>
    <col width="12" customWidth="1" min="79" max="79"/>
    <col width="12"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12" customWidth="1" min="98" max="98"/>
    <col width="12"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2" customWidth="1" min="107" max="107"/>
    <col width="12" customWidth="1" min="108" max="108"/>
    <col width="12" customWidth="1" min="109" max="109"/>
    <col width="12" customWidth="1" min="110" max="110"/>
    <col width="12" customWidth="1" min="111" max="111"/>
    <col width="12" customWidth="1" min="112" max="112"/>
    <col width="12" customWidth="1" min="113" max="113"/>
    <col width="12" customWidth="1" min="114" max="114"/>
    <col width="12" customWidth="1" min="115" max="115"/>
    <col width="12" customWidth="1" min="116" max="116"/>
    <col width="12" customWidth="1" min="117" max="117"/>
    <col width="12" customWidth="1" min="118" max="118"/>
    <col width="12" customWidth="1" min="119" max="119"/>
    <col width="12" customWidth="1" min="120" max="120"/>
    <col width="12" customWidth="1" min="121" max="121"/>
    <col width="12" customWidth="1" min="122" max="122"/>
    <col width="12" customWidth="1" min="123" max="123"/>
    <col width="12" customWidth="1" min="124" max="124"/>
    <col width="12" customWidth="1" min="125" max="125"/>
    <col width="12" customWidth="1" min="126" max="126"/>
    <col width="12" customWidth="1" min="127" max="127"/>
    <col width="12" customWidth="1" min="128" max="128"/>
    <col width="12" customWidth="1" min="129" max="129"/>
    <col width="12" customWidth="1" min="130" max="130"/>
    <col width="12" customWidth="1" min="131" max="131"/>
    <col width="12" customWidth="1" min="132" max="132"/>
    <col width="12" customWidth="1" min="133" max="133"/>
    <col width="12" customWidth="1" min="134" max="134"/>
  </cols>
  <sheetData>
    <row r="1">
      <c r="A1" s="1" t="inlineStr">
        <is>
          <t>Retirement model - Example</t>
        </is>
      </c>
    </row>
    <row r="2" ht="30" customHeight="1">
      <c r="A2" s="3" t="inlineStr">
        <is>
          <t>Yellow cells are this scenario's inputs. To try another scenario: right-click this tab &gt; Duplicate, rename it 'Model - &lt;name&gt;', change its yellow cells. Shared facts (budgets, properties, accounts, healthcare, tax law) are on the other tabs. Don't insert or delete rows on this tab.</t>
        </is>
      </c>
    </row>
    <row r="4">
      <c r="A4" s="4" t="inlineStr">
        <is>
          <t>WORK</t>
        </is>
      </c>
      <c r="B4" s="5" t="n"/>
      <c r="C4" s="5" t="n"/>
      <c r="E4" s="4" t="inlineStr">
        <is>
          <t>RESULTS (today's dollars)</t>
        </is>
      </c>
      <c r="F4" s="5" t="n"/>
      <c r="G4" s="5" t="n"/>
    </row>
    <row r="5">
      <c r="A5">
        <f>household!$B$5&amp;"'s first year without a paycheck"</f>
        <v/>
      </c>
      <c r="B5" s="6" t="n">
        <v>2030</v>
      </c>
      <c r="C5" t="inlineStr">
        <is>
          <t>The year after the last working year</t>
        </is>
      </c>
      <c r="E5">
        <f>"Net worth when "&amp;household!$B$5&amp;" is 70"</f>
        <v/>
      </c>
      <c r="G5" s="7">
        <f>IFERROR(INDEX($J$92:$J$135,MATCH(household!$B$6+70,$A$92:$A$135,0)),"")</f>
        <v/>
      </c>
    </row>
    <row r="6">
      <c r="A6">
        <f>household!$B$8&amp;"'s first year without a paycheck"</f>
        <v/>
      </c>
      <c r="B6" s="6" t="n">
        <v>2029</v>
      </c>
      <c r="C6" t="inlineStr"/>
      <c r="E6" t="inlineStr">
        <is>
          <t>... at 80</t>
        </is>
      </c>
      <c r="G6" s="7">
        <f>IFERROR(INDEX($J$92:$J$135,MATCH(household!$B$6+80,$A$92:$A$135,0)),"")</f>
        <v/>
      </c>
    </row>
    <row r="7">
      <c r="A7">
        <f>household!$B$5&amp;"'s pay per year while working (today's $)"</f>
        <v/>
      </c>
      <c r="B7" s="8" t="n">
        <v>190000</v>
      </c>
      <c r="C7" t="inlineStr">
        <is>
          <t>Salary + bonus + stock vesting</t>
        </is>
      </c>
      <c r="E7" t="inlineStr">
        <is>
          <t>... at 85</t>
        </is>
      </c>
      <c r="G7" s="7">
        <f>IFERROR(INDEX($J$92:$J$135,MATCH(household!$B$6+85,$A$92:$A$135,0)),"")</f>
        <v/>
      </c>
    </row>
    <row r="8">
      <c r="A8">
        <f>household!$B$8&amp;"'s pay per year while working"</f>
        <v/>
      </c>
      <c r="B8" s="8" t="n">
        <v>98000</v>
      </c>
      <c r="C8" t="inlineStr"/>
      <c r="E8" t="inlineStr">
        <is>
          <t>... at 90</t>
        </is>
      </c>
      <c r="G8" s="7">
        <f>IFERROR(INDEX($J$92:$J$135,MATCH(household!$B$6+90,$A$92:$A$135,0)),"")</f>
        <v/>
      </c>
    </row>
    <row r="9">
      <c r="A9">
        <f>household!$B$5&amp;"'s 401(k)/403(b) contributions (pre-tax)"</f>
        <v/>
      </c>
      <c r="B9" s="8" t="n">
        <v>31000</v>
      </c>
      <c r="C9" t="inlineStr">
        <is>
          <t>While working</t>
        </is>
      </c>
      <c r="E9" t="inlineStr">
        <is>
          <t>... at 95</t>
        </is>
      </c>
      <c r="G9" s="7">
        <f>IFERROR(INDEX($J$92:$J$135,MATCH(household!$B$6+95,$A$92:$A$135,0)),"")</f>
        <v/>
      </c>
    </row>
    <row r="10">
      <c r="A10">
        <f>household!$B$8&amp;"'s 401(k)/403(b) contributions (pre-tax)"</f>
        <v/>
      </c>
      <c r="B10" s="8" t="n">
        <v>24500</v>
      </c>
      <c r="C10" t="inlineStr"/>
      <c r="E10">
        <f>"Investments when "&amp;household!$B$5&amp;" is 90"</f>
        <v/>
      </c>
      <c r="G10" s="7">
        <f>IFERROR(MAX(0,INDEX($I$92:$I$135,MATCH(household!$B$6+90,$A$92:$A$135,0))),"")</f>
        <v/>
      </c>
    </row>
    <row r="11">
      <c r="A11">
        <f>"Employer match / pension contributions for "&amp;household!$B$5</f>
        <v/>
      </c>
      <c r="B11" s="8" t="n">
        <v>9500</v>
      </c>
      <c r="C11" t="inlineStr"/>
      <c r="E11" t="inlineStr">
        <is>
          <t>First year investments can't cover costs</t>
        </is>
      </c>
      <c r="G11" s="9">
        <f>IF(COUNTIF($K$92:$K$135,"&gt;1")=0,"never",SUMPRODUCT(MIN($A$92:$A$135+($K$92:$K$135&lt;=1)*10000)))</f>
        <v/>
      </c>
    </row>
    <row r="12">
      <c r="A12">
        <f>"Employer match / pension contributions for "&amp;household!$B$8</f>
        <v/>
      </c>
      <c r="B12" s="8" t="n">
        <v>4900</v>
      </c>
      <c r="C12" t="inlineStr"/>
      <c r="E12" t="inlineStr">
        <is>
          <t>First year's living costs</t>
        </is>
      </c>
      <c r="G12" s="7">
        <f>INDEX($D$92:$D$135,1)</f>
        <v/>
      </c>
    </row>
    <row r="13">
      <c r="A13" t="inlineStr">
        <is>
          <t>HSA contributions (while either works)</t>
        </is>
      </c>
      <c r="B13" s="8" t="n">
        <v>9550</v>
      </c>
      <c r="C13" t="inlineStr">
        <is>
          <t>Family limit + catch-up</t>
        </is>
      </c>
      <c r="E13" t="inlineStr">
        <is>
          <t>First year's withdrawal rate</t>
        </is>
      </c>
      <c r="G13" s="10">
        <f>INDEX($H$92:$H$135,1)</f>
        <v/>
      </c>
    </row>
    <row r="14">
      <c r="A14" t="inlineStr">
        <is>
          <t>Income tax withheld from pay</t>
        </is>
      </c>
      <c r="B14" s="11" t="n">
        <v>0.22</v>
      </c>
      <c r="C14" t="inlineStr">
        <is>
          <t>Share of taxable pay; the difference is settled next April</t>
        </is>
      </c>
      <c r="E14" t="inlineStr">
        <is>
          <t>Lifetime income tax (today's $)</t>
        </is>
      </c>
      <c r="G14" s="7">
        <f>SUMPRODUCT($EB$92:$EB$135/$O$92:$O$135)</f>
        <v/>
      </c>
    </row>
    <row r="15">
      <c r="A15" t="inlineStr">
        <is>
          <t>Tax owed for last year, paid in April of the first year</t>
        </is>
      </c>
      <c r="B15" s="8" t="n">
        <v>4000</v>
      </c>
      <c r="C15" t="inlineStr">
        <is>
          <t>Negative = a refund</t>
        </is>
      </c>
    </row>
    <row r="17">
      <c r="A17" s="4" t="inlineStr">
        <is>
          <t>ECONOMY</t>
        </is>
      </c>
      <c r="B17" s="5" t="n"/>
      <c r="C17" s="5" t="n"/>
    </row>
    <row r="18">
      <c r="A18" t="inlineStr">
        <is>
          <t>Inflation</t>
        </is>
      </c>
      <c r="B18" s="11" t="n">
        <v>0.03</v>
      </c>
      <c r="C18" t="inlineStr">
        <is>
          <t>Living costs, pay, pensions, tax brackets</t>
        </is>
      </c>
    </row>
    <row r="19">
      <c r="A19" t="inlineStr">
        <is>
          <t>Investment return (per year, before inflation)</t>
        </is>
      </c>
      <c r="B19" s="11" t="n">
        <v>0.055</v>
      </c>
      <c r="C19" t="inlineStr">
        <is>
          <t>Override any year in the yellow 'Return override' column below</t>
        </is>
      </c>
    </row>
    <row r="20">
      <c r="A20" t="inlineStr">
        <is>
          <t>Dividend yield on taxable accounts</t>
        </is>
      </c>
      <c r="B20" s="11" t="n">
        <v>0.015</v>
      </c>
      <c r="C20" t="inlineStr">
        <is>
          <t>Paid out as cash each year</t>
        </is>
      </c>
    </row>
    <row r="21">
      <c r="A21" t="inlineStr">
        <is>
          <t>Healthcare cost growth</t>
        </is>
      </c>
      <c r="B21" s="11">
        <f>healthcare!$B$10</f>
        <v/>
      </c>
      <c r="C21" t="inlineStr">
        <is>
          <t>From the healthcare tab</t>
        </is>
      </c>
    </row>
    <row r="22">
      <c r="A22" t="inlineStr">
        <is>
          <t>College cost growth</t>
        </is>
      </c>
      <c r="B22" s="11" t="n">
        <v>0.04</v>
      </c>
      <c r="C22" t="inlineStr"/>
    </row>
    <row r="23">
      <c r="A23" t="inlineStr">
        <is>
          <t>Long-term care cost growth</t>
        </is>
      </c>
      <c r="B23" s="11">
        <f>healthcare!$B$12</f>
        <v/>
      </c>
      <c r="C23" t="inlineStr">
        <is>
          <t>From the healthcare tab</t>
        </is>
      </c>
    </row>
    <row r="25">
      <c r="A25" s="4" t="inlineStr">
        <is>
          <t>SOCIAL SECURITY</t>
        </is>
      </c>
      <c r="B25" s="5" t="n"/>
      <c r="C25" s="5" t="n"/>
    </row>
    <row r="26">
      <c r="A26">
        <f>household!$B$5&amp;" starts Social Security at age"</f>
        <v/>
      </c>
      <c r="B26" s="6" t="n">
        <v>68</v>
      </c>
      <c r="C26" t="inlineStr">
        <is>
          <t>62-70</t>
        </is>
      </c>
    </row>
    <row r="27">
      <c r="A27">
        <f>household!$B$8&amp;" starts Social Security at age"</f>
        <v/>
      </c>
      <c r="B27" s="6" t="n">
        <v>67</v>
      </c>
      <c r="C27" t="inlineStr">
        <is>
          <t>62-70. A spouse can get up to half the other's benefit once both claim</t>
        </is>
      </c>
    </row>
    <row r="28">
      <c r="A28" t="inlineStr">
        <is>
          <t>Benefit reduction for stopping work early</t>
        </is>
      </c>
      <c r="B28" s="11" t="n">
        <v>0.02</v>
      </c>
      <c r="C28" t="inlineStr">
        <is>
          <t>SSA statements assume you work until claiming; zero-earning years lower the average (often 1-5%)</t>
        </is>
      </c>
    </row>
    <row r="29">
      <c r="A29" t="inlineStr">
        <is>
          <t>Across-the-board benefit cut</t>
        </is>
      </c>
      <c r="B29" s="11" t="n">
        <v>0.19</v>
      </c>
      <c r="C29" t="inlineStr">
        <is>
          <t>If Congress doesn't act, the trust fund pays ~81% from about 2034</t>
        </is>
      </c>
    </row>
    <row r="30">
      <c r="A30" t="inlineStr">
        <is>
          <t>Cut starts in</t>
        </is>
      </c>
      <c r="B30" s="6" t="n">
        <v>2034</v>
      </c>
      <c r="C30" t="inlineStr">
        <is>
          <t>Set the cut to 0% to assume Congress fixes it</t>
        </is>
      </c>
    </row>
    <row r="31">
      <c r="A31">
        <f>household!$B$5&amp;"'s claim year"</f>
        <v/>
      </c>
      <c r="B31" s="12">
        <f>household!$B$6+$B$26</f>
        <v/>
      </c>
      <c r="C31" t="inlineStr"/>
    </row>
    <row r="32">
      <c r="A32">
        <f>household!$B$8&amp;"'s claim year"</f>
        <v/>
      </c>
      <c r="B32" s="12">
        <f>household!$B$9+$B$27</f>
        <v/>
      </c>
      <c r="C32" t="inlineStr"/>
    </row>
    <row r="33">
      <c r="A33">
        <f>household!$B$5&amp;"'s benefit vs full retirement age"</f>
        <v/>
      </c>
      <c r="B33" s="13">
        <f>IF(ROUND(($B$26-tax_tables!$B$24)*12,0)&gt;=0,1+0.08/12*MIN(ROUND(($B$26-tax_tables!$B$24)*12,0),36),1-5/900*MIN(-ROUND(($B$26-tax_tables!$B$24)*12,0),36)-5/1200*MAX(0,-ROUND(($B$26-tax_tables!$B$24)*12,0)-36))</f>
        <v/>
      </c>
      <c r="C33" t="inlineStr">
        <is>
          <t>Early claims are reduced, later ones get 8%/yr</t>
        </is>
      </c>
    </row>
    <row r="34">
      <c r="A34">
        <f>household!$B$8&amp;"'s benefit vs full retirement age"</f>
        <v/>
      </c>
      <c r="B34" s="13">
        <f>IF(ROUND(($B$27-tax_tables!$B$24)*12,0)&gt;=0,1+0.08/12*MIN(ROUND(($B$27-tax_tables!$B$24)*12,0),36),1-5/900*MIN(-ROUND(($B$27-tax_tables!$B$24)*12,0),36)-5/1200*MAX(0,-ROUND(($B$27-tax_tables!$B$24)*12,0)-36))</f>
        <v/>
      </c>
      <c r="C34" t="inlineStr"/>
    </row>
    <row r="35">
      <c r="A35">
        <f>household!$B$5&amp;"'s spousal benefit factor"</f>
        <v/>
      </c>
      <c r="B35" s="13">
        <f>IF(ROUND(($B$26-tax_tables!$B$24)*12,0)&gt;=0,1,1-25/3600*MIN(-ROUND(($B$26-tax_tables!$B$24)*12,0),36)-5/1200*MAX(0,-ROUND(($B$26-tax_tables!$B$24)*12,0)-36))</f>
        <v/>
      </c>
      <c r="C35" t="inlineStr">
        <is>
          <t>Spousal benefits don't grow after full retirement age</t>
        </is>
      </c>
    </row>
    <row r="36">
      <c r="A36">
        <f>household!$B$8&amp;"'s spousal benefit factor"</f>
        <v/>
      </c>
      <c r="B36" s="13">
        <f>IF(ROUND(($B$27-tax_tables!$B$24)*12,0)&gt;=0,1,1-25/3600*MIN(-ROUND(($B$27-tax_tables!$B$24)*12,0),36)-5/1200*MAX(0,-ROUND(($B$27-tax_tables!$B$24)*12,0)-36))</f>
        <v/>
      </c>
      <c r="C36" t="inlineStr"/>
    </row>
    <row r="38">
      <c r="A38" s="4" t="inlineStr">
        <is>
          <t>WHERE YOU LIVE (STATE TAX)</t>
        </is>
      </c>
      <c r="B38" s="5" t="n"/>
      <c r="C38" s="5" t="n"/>
    </row>
    <row r="39">
      <c r="A39" t="inlineStr">
        <is>
          <t>Year you move to another state</t>
        </is>
      </c>
      <c r="B39" s="6" t="n"/>
      <c r="C39" t="inlineStr">
        <is>
          <t>Blank = stay. The state brackets are on the tax_tables tab</t>
        </is>
      </c>
    </row>
    <row r="40">
      <c r="A40" t="inlineStr">
        <is>
          <t>The new state's income tax rate</t>
        </is>
      </c>
      <c r="B40" s="11" t="n">
        <v>0</v>
      </c>
      <c r="C40" t="inlineStr">
        <is>
          <t>Flat rate on income except Social Security; 0% for FL, TX, TN, NV, WA...</t>
        </is>
      </c>
    </row>
    <row r="42">
      <c r="A42" s="4" t="inlineStr">
        <is>
          <t>WORKPLACE PENSIONS</t>
        </is>
      </c>
      <c r="B42" s="5" t="n"/>
      <c r="C42" s="5" t="n"/>
    </row>
    <row r="43">
      <c r="A43">
        <f>household!$B$5&amp;"'s defined-benefit pension per year (today's $)"</f>
        <v/>
      </c>
      <c r="B43" s="8" t="n">
        <v>0</v>
      </c>
      <c r="C43" t="inlineStr">
        <is>
          <t>0 = none. Your pension statement's estimate</t>
        </is>
      </c>
    </row>
    <row r="44">
      <c r="A44" t="inlineStr">
        <is>
          <t>... starts at age</t>
        </is>
      </c>
      <c r="B44" s="6" t="n">
        <v>65</v>
      </c>
      <c r="C44" t="inlineStr"/>
    </row>
    <row r="45">
      <c r="A45">
        <f>household!$B$8&amp;"'s defined-benefit pension per year (today's $)"</f>
        <v/>
      </c>
      <c r="B45" s="8" t="n">
        <v>26000</v>
      </c>
      <c r="C45" t="inlineStr"/>
    </row>
    <row r="46">
      <c r="A46" t="inlineStr">
        <is>
          <t>... starts at age</t>
        </is>
      </c>
      <c r="B46" s="6" t="n">
        <v>62</v>
      </c>
      <c r="C46" t="inlineStr"/>
    </row>
    <row r="47">
      <c r="A47" t="inlineStr">
        <is>
          <t>Pension increases, as a share of inflation</t>
        </is>
      </c>
      <c r="B47" s="14" t="n">
        <v>0.5</v>
      </c>
      <c r="C47" t="inlineStr">
        <is>
          <t>0% = fixed dollar amount, 100% = fully indexed</t>
        </is>
      </c>
    </row>
    <row r="48">
      <c r="A48" t="inlineStr">
        <is>
          <t>Share that continues to the survivor</t>
        </is>
      </c>
      <c r="B48" s="14" t="n">
        <v>0.5</v>
      </c>
      <c r="C48" t="inlineStr">
        <is>
          <t>Joint-and-survivor option; used in the Monte Carlo's lifetime runs</t>
        </is>
      </c>
    </row>
    <row r="50">
      <c r="A50" s="4" t="inlineStr">
        <is>
          <t>HEALTHCARE AND LONG-TERM CARE</t>
        </is>
      </c>
      <c r="B50" s="5" t="n"/>
      <c r="C50" s="5" t="n"/>
    </row>
    <row r="51">
      <c r="A51">
        <f>household!$B$5&amp;" needs long-term care from age"</f>
        <v/>
      </c>
      <c r="B51" s="6" t="n">
        <v>88</v>
      </c>
      <c r="C51" t="inlineStr">
        <is>
          <t>Paid from savings (HSA first)</t>
        </is>
      </c>
    </row>
    <row r="52">
      <c r="A52" t="inlineStr">
        <is>
          <t>... for this many years</t>
        </is>
      </c>
      <c r="B52" s="6" t="n">
        <v>3</v>
      </c>
      <c r="C52" t="inlineStr">
        <is>
          <t>Averages: men ~2 years, women ~3.5</t>
        </is>
      </c>
    </row>
    <row r="53">
      <c r="A53">
        <f>household!$B$8&amp;" needs long-term care from age"</f>
        <v/>
      </c>
      <c r="B53" s="6" t="n">
        <v>84</v>
      </c>
      <c r="C53" t="inlineStr">
        <is>
          <t>Overlapping years double the cost</t>
        </is>
      </c>
    </row>
    <row r="54">
      <c r="A54" t="inlineStr">
        <is>
          <t>... for this many years</t>
        </is>
      </c>
      <c r="B54" s="6" t="n">
        <v>2</v>
      </c>
      <c r="C54" t="inlineStr"/>
    </row>
    <row r="55">
      <c r="A55" t="inlineStr">
        <is>
          <t>Long-term care cost per person-year (today's $)</t>
        </is>
      </c>
      <c r="B55" s="8">
        <f>healthcare!$B$11</f>
        <v/>
      </c>
      <c r="C55" t="inlineStr">
        <is>
          <t>From the healthcare tab</t>
        </is>
      </c>
    </row>
    <row r="57">
      <c r="A57" s="4" t="inlineStr">
        <is>
          <t>TAX MOVES</t>
        </is>
      </c>
      <c r="B57" s="5" t="n"/>
      <c r="C57" s="5" t="n"/>
    </row>
    <row r="58">
      <c r="A58" t="inlineStr">
        <is>
          <t>Roth conversion per year (today's $)</t>
        </is>
      </c>
      <c r="B58" s="8" t="n">
        <v>60000</v>
      </c>
      <c r="C58" t="inlineStr">
        <is>
          <t>Moves pre-tax money to the Roth; taxed as income that year</t>
        </is>
      </c>
    </row>
    <row r="59">
      <c r="A59" t="inlineStr">
        <is>
          <t>... from year</t>
        </is>
      </c>
      <c r="B59" s="6" t="n">
        <v>2031</v>
      </c>
      <c r="C59" t="inlineStr">
        <is>
          <t>Blank = no conversions</t>
        </is>
      </c>
    </row>
    <row r="60">
      <c r="A60" t="inlineStr">
        <is>
          <t>... through year</t>
        </is>
      </c>
      <c r="B60" s="6" t="n">
        <v>2035</v>
      </c>
      <c r="C60" t="inlineStr"/>
    </row>
    <row r="61">
      <c r="A61" t="inlineStr">
        <is>
          <t>Charitable giving per year (today's $)</t>
        </is>
      </c>
      <c r="B61" s="8" t="n">
        <v>3000</v>
      </c>
      <c r="C61" t="inlineStr">
        <is>
          <t>Deductible if you itemize; the spending itself belongs in the budget</t>
        </is>
      </c>
    </row>
    <row r="63">
      <c r="A63" s="4" t="inlineStr">
        <is>
          <t>STARTING POINT (1 January of the first year) - from the assets tab; type over to freeze</t>
        </is>
      </c>
      <c r="B63" s="5" t="n"/>
      <c r="C63" s="5" t="n"/>
    </row>
    <row r="64">
      <c r="A64" t="inlineStr">
        <is>
          <t>Taxable investments + cash</t>
        </is>
      </c>
      <c r="B64" s="15">
        <f>SUMIF(assets!$B$2:$B$150,"taxable",assets!$C$2:$C$150)</f>
        <v/>
      </c>
      <c r="C64" t="inlineStr"/>
    </row>
    <row r="65">
      <c r="A65" t="inlineStr">
        <is>
          <t>... their cost basis</t>
        </is>
      </c>
      <c r="B65" s="15">
        <f>assets!$J$2</f>
        <v/>
      </c>
      <c r="C65" t="inlineStr"/>
    </row>
    <row r="66">
      <c r="A66">
        <f>household!$B$5&amp;"'s pre-tax accounts"</f>
        <v/>
      </c>
      <c r="B66" s="15">
        <f>SUMIF(assets!$B$2:$B$150,"pretax_p1",assets!$C$2:$C$150)</f>
        <v/>
      </c>
      <c r="C66" t="inlineStr"/>
    </row>
    <row r="67">
      <c r="A67">
        <f>household!$B$8&amp;"'s pre-tax accounts"</f>
        <v/>
      </c>
      <c r="B67" s="15">
        <f>SUMIF(assets!$B$2:$B$150,"pretax_p2",assets!$C$2:$C$150)</f>
        <v/>
      </c>
      <c r="C67" t="inlineStr"/>
    </row>
    <row r="68">
      <c r="A68" t="inlineStr">
        <is>
          <t>Roth accounts</t>
        </is>
      </c>
      <c r="B68" s="15">
        <f>SUMIF(assets!$B$2:$B$150,"roth",assets!$C$2:$C$150)</f>
        <v/>
      </c>
      <c r="C68" t="inlineStr"/>
    </row>
    <row r="69">
      <c r="A69" t="inlineStr">
        <is>
          <t>HSAs</t>
        </is>
      </c>
      <c r="B69" s="15">
        <f>SUMIF(assets!$B$2:$B$150,"hsa",assets!$C$2:$C$150)</f>
        <v/>
      </c>
      <c r="C69" t="inlineStr"/>
    </row>
    <row r="70">
      <c r="A70" t="inlineStr">
        <is>
          <t>529s / college funds</t>
        </is>
      </c>
      <c r="B70" s="15">
        <f>SUMIF(assets!$B$2:$B$150,"college_529",assets!$C$2:$C$150)</f>
        <v/>
      </c>
      <c r="C70" t="inlineStr"/>
    </row>
    <row r="71">
      <c r="A71">
        <f>household!$B$5&amp;"'s required withdrawals start at"</f>
        <v/>
      </c>
      <c r="B71" s="12">
        <f>IF(household!$B$6&lt;1951,72,IF(household!$B$6&lt;1960,73,75))</f>
        <v/>
      </c>
      <c r="C71" t="inlineStr">
        <is>
          <t>73 if born 1951-59, 75 if born 1960 or later</t>
        </is>
      </c>
    </row>
    <row r="72">
      <c r="A72">
        <f>household!$B$8&amp;"'s required withdrawals start at"</f>
        <v/>
      </c>
      <c r="B72" s="12">
        <f>IF(household!$B$9&lt;1951,72,IF(household!$B$9&lt;1960,73,75))</f>
        <v/>
      </c>
      <c r="C72" t="inlineStr"/>
    </row>
    <row r="74" ht="30" customHeight="1">
      <c r="A74" s="16" t="inlineStr">
        <is>
          <t>Property</t>
        </is>
      </c>
      <c r="B74" s="16" t="inlineStr">
        <is>
          <t>Sell in year</t>
        </is>
      </c>
      <c r="C74" s="16" t="inlineStr">
        <is>
          <t>Change use from year</t>
        </is>
      </c>
      <c r="D74" s="16" t="inlineStr">
        <is>
          <t>New rent / yr (today's $)</t>
        </is>
      </c>
      <c r="E74" s="16" t="inlineStr">
        <is>
          <t>New costs / yr (today's $)</t>
        </is>
      </c>
      <c r="F74" s="16" t="inlineStr">
        <is>
          <t>Sale price</t>
        </is>
      </c>
      <c r="G74" s="16" t="inlineStr">
        <is>
          <t>Net proceeds</t>
        </is>
      </c>
      <c r="H74" s="16" t="inlineStr">
        <is>
          <t>Taxable gain</t>
        </is>
      </c>
      <c r="I74" s="16" t="inlineStr">
        <is>
          <t>Recapture</t>
        </is>
      </c>
    </row>
    <row r="75">
      <c r="A75">
        <f>IF(properties!$A$2="","",properties!$A$2)</f>
        <v/>
      </c>
      <c r="B75" s="6" t="n">
        <v>2040</v>
      </c>
      <c r="C75" s="17" t="n"/>
      <c r="D75" s="18" t="n"/>
      <c r="E75" s="8" t="n">
        <v>36000</v>
      </c>
      <c r="F75" s="15">
        <f>IF($B75="",0,properties!$C$2*(1+properties!$D$2)^($B75-household!$B$4+1))</f>
        <v/>
      </c>
      <c r="G75" s="15">
        <f>IF($B75="",0,F75*(1-properties!$E$2)-IFERROR(INDEX($AM$92:$AM$135,MATCH($B75,$A$92:$A$135,0)),0))</f>
        <v/>
      </c>
      <c r="H75" s="15">
        <f>IF($B75="",0,MAX(0,F75*(1-properties!$E$2)-properties!$F$2-tax_tables!$B$20))</f>
        <v/>
      </c>
      <c r="I75" s="15" t="n">
        <v>0</v>
      </c>
    </row>
    <row r="76">
      <c r="A76">
        <f>IF(properties!$A$3="","",properties!$A$3)</f>
        <v/>
      </c>
      <c r="B76" s="6" t="n">
        <v>2045</v>
      </c>
      <c r="C76" s="6" t="n"/>
      <c r="D76" s="8" t="n"/>
      <c r="E76" s="8" t="n"/>
      <c r="F76" s="15">
        <f>IF($B76="",0,properties!$C$3*(1+properties!$D$3)^($B76-household!$B$4+1))</f>
        <v/>
      </c>
      <c r="G76" s="15">
        <f>IF($B76="",0,F76*(1-properties!$E$3))</f>
        <v/>
      </c>
      <c r="H76" s="15">
        <f>IF($B76="",0,MAX(0,G76-(properties!$F$3-(properties!$P$3+properties!$N$3*MAX(0,MIN($B76,properties!$O$3)-household!$B$4+1)))))</f>
        <v/>
      </c>
      <c r="I76" s="15">
        <f>IF($B76="",0,MIN(H76,(properties!$P$3+properties!$N$3*MAX(0,MIN($B76,properties!$O$3)-household!$B$4+1))))</f>
        <v/>
      </c>
    </row>
    <row r="77">
      <c r="A77">
        <f>IF(properties!$A$4="","",properties!$A$4)</f>
        <v/>
      </c>
      <c r="B77" s="6" t="n"/>
      <c r="C77" s="6" t="n"/>
      <c r="D77" s="8" t="n"/>
      <c r="E77" s="8" t="n"/>
      <c r="F77" s="15">
        <f>IF($B77="",0,properties!$C$4*(1+properties!$D$4)^($B77-household!$B$4+1))</f>
        <v/>
      </c>
      <c r="G77" s="15">
        <f>IF($B77="",0,F77*(1-properties!$E$4))</f>
        <v/>
      </c>
      <c r="H77" s="15">
        <f>IF($B77="",0,MAX(0,G77-(properties!$F$4-(properties!$P$4+properties!$N$4*MAX(0,MIN($B77,properties!$O$4)-household!$B$4+1)))))</f>
        <v/>
      </c>
      <c r="I77" s="15">
        <f>IF($B77="",0,MIN(H77,(properties!$P$4+properties!$N$4*MAX(0,MIN($B77,properties!$O$4)-household!$B$4+1))))</f>
        <v/>
      </c>
    </row>
    <row r="78">
      <c r="A78">
        <f>IF(properties!$A$5="","",properties!$A$5)</f>
        <v/>
      </c>
      <c r="B78" s="6" t="n"/>
      <c r="C78" s="6" t="n"/>
      <c r="D78" s="8" t="n"/>
      <c r="E78" s="8" t="n"/>
      <c r="F78" s="15">
        <f>IF($B78="",0,properties!$C$5*(1+properties!$D$5)^($B78-household!$B$4+1))</f>
        <v/>
      </c>
      <c r="G78" s="15">
        <f>IF($B78="",0,F78*(1-properties!$E$5))</f>
        <v/>
      </c>
      <c r="H78" s="15">
        <f>IF($B78="",0,MAX(0,G78-(properties!$F$5-(properties!$P$5+properties!$N$5*MAX(0,MIN($B78,properties!$O$5)-household!$B$4+1)))))</f>
        <v/>
      </c>
      <c r="I78" s="15">
        <f>IF($B78="",0,MIN(H78,(properties!$P$5+properties!$N$5*MAX(0,MIN($B78,properties!$O$5)-household!$B$4+1))))</f>
        <v/>
      </c>
    </row>
    <row r="79">
      <c r="A79">
        <f>IF(properties!$A$6="","",properties!$A$6)</f>
        <v/>
      </c>
      <c r="B79" s="6" t="n"/>
      <c r="C79" s="6" t="n"/>
      <c r="D79" s="8" t="n"/>
      <c r="E79" s="8" t="n"/>
      <c r="F79" s="15">
        <f>IF($B79="",0,properties!$C$6*(1+properties!$D$6)^($B79-household!$B$4+1))</f>
        <v/>
      </c>
      <c r="G79" s="15">
        <f>IF($B79="",0,F79*(1-properties!$E$6))</f>
        <v/>
      </c>
      <c r="H79" s="15">
        <f>IF($B79="",0,MAX(0,G79-(properties!$F$6-(properties!$P$6+properties!$N$6*MAX(0,MIN($B79,properties!$O$6)-household!$B$4+1)))))</f>
        <v/>
      </c>
      <c r="I79" s="15">
        <f>IF($B79="",0,MIN(H79,(properties!$P$6+properties!$N$6*MAX(0,MIN($B79,properties!$O$6)-household!$B$4+1))))</f>
        <v/>
      </c>
    </row>
    <row r="80" ht="44" customHeight="1">
      <c r="A80" s="3" t="inlineStr">
        <is>
          <t>Home: 'New costs' = what housing costs per year after you sell it (rent, or a new place's carrying costs; if you buy one, its price goes in one-off Expenses below and its value isn't counted in net worth). Other properties: 'Change use' switches to the new rent/costs from that year (e.g. move into the cottage: rent 0, costs = its upkeep). Sale price is a formula; type over it to use your own estimate.</t>
        </is>
      </c>
    </row>
    <row r="82">
      <c r="A82" s="19" t="inlineStr">
        <is>
          <t>One-off money in or out</t>
        </is>
      </c>
      <c r="B82" s="19" t="inlineStr">
        <is>
          <t>Year</t>
        </is>
      </c>
      <c r="C82" s="19" t="inlineStr">
        <is>
          <t>Amount (today's $)</t>
        </is>
      </c>
      <c r="D82" s="19" t="inlineStr">
        <is>
          <t>Type</t>
        </is>
      </c>
    </row>
    <row r="83">
      <c r="A83" s="20" t="inlineStr">
        <is>
          <t>Moving costs when selling the house</t>
        </is>
      </c>
      <c r="B83" s="6" t="n">
        <v>2040</v>
      </c>
      <c r="C83" s="8" t="n">
        <v>15000</v>
      </c>
      <c r="D83" s="20" t="inlineStr">
        <is>
          <t>Expense</t>
        </is>
      </c>
      <c r="F83" s="21" t="inlineStr">
        <is>
          <t>Severance, an inheritance, a wedding, a new car, buying a smaller home. Wages get payroll tax; 'Other taxable income' is taxed as ordinary income; 'Tax-free money in' isn't taxed; 'Expense' is spent that year.</t>
        </is>
      </c>
    </row>
    <row r="84">
      <c r="A84" s="20" t="inlineStr">
        <is>
          <t>Inheritance from Jordan's parents</t>
        </is>
      </c>
      <c r="B84" s="6" t="n">
        <v>2036</v>
      </c>
      <c r="C84" s="8" t="n">
        <v>150000</v>
      </c>
      <c r="D84" s="20" t="inlineStr">
        <is>
          <t>Tax-free money in</t>
        </is>
      </c>
    </row>
    <row r="85">
      <c r="A85" s="20" t="n"/>
      <c r="B85" s="6" t="n"/>
      <c r="C85" s="8" t="n"/>
      <c r="D85" s="20" t="n"/>
    </row>
    <row r="86">
      <c r="A86" s="20" t="n"/>
      <c r="B86" s="6" t="n"/>
      <c r="C86" s="8" t="n"/>
      <c r="D86" s="20" t="n"/>
    </row>
    <row r="87">
      <c r="A87" s="20" t="n"/>
      <c r="B87" s="6" t="n"/>
      <c r="C87" s="8" t="n"/>
      <c r="D87" s="20" t="n"/>
    </row>
    <row r="88">
      <c r="A88" s="20" t="n"/>
      <c r="B88" s="6" t="n"/>
      <c r="C88" s="8" t="n"/>
      <c r="D88" s="20" t="n"/>
    </row>
    <row r="90">
      <c r="A90" s="4" t="inlineStr">
        <is>
          <t>SUMMARY</t>
        </is>
      </c>
      <c r="L90" s="4" t="inlineStr">
        <is>
          <t>ASSUMPTIONS BY YEAR</t>
        </is>
      </c>
      <c r="T90" s="4" t="inlineStr">
        <is>
          <t>WORK</t>
        </is>
      </c>
      <c r="AL90" s="4" t="inlineStr">
        <is>
          <t>HOUSING</t>
        </is>
      </c>
      <c r="AT90" s="4" t="inlineStr">
        <is>
          <t>LIVING</t>
        </is>
      </c>
      <c r="BB90" s="4" t="inlineStr">
        <is>
          <t>HEALTHCARE</t>
        </is>
      </c>
      <c r="BQ90" s="4" t="inlineStr">
        <is>
          <t>PROPERTIES</t>
        </is>
      </c>
      <c r="BY90" s="4" t="inlineStr">
        <is>
          <t>SOCIAL SECURITY</t>
        </is>
      </c>
      <c r="CA90" s="4" t="inlineStr">
        <is>
          <t>PENSIONS</t>
        </is>
      </c>
      <c r="CC90" s="4" t="inlineStr">
        <is>
          <t>INVESTMENTS</t>
        </is>
      </c>
      <c r="DH90" s="4" t="inlineStr">
        <is>
          <t>INCOME TAX</t>
        </is>
      </c>
      <c r="EC90" s="4" t="inlineStr">
        <is>
          <t>TOTALS</t>
        </is>
      </c>
    </row>
    <row r="91" ht="58" customHeight="1">
      <c r="A91" s="16" t="inlineStr">
        <is>
          <t>Year</t>
        </is>
      </c>
      <c r="B91" s="16">
        <f>household!$B$5&amp;"'s age"</f>
        <v/>
      </c>
      <c r="C91" s="16">
        <f>household!$B$8&amp;"'s age"</f>
        <v/>
      </c>
      <c r="D91" s="16" t="inlineStr">
        <is>
          <t>Living costs (all spending except income tax)</t>
        </is>
      </c>
      <c r="E91" s="16" t="inlineStr">
        <is>
          <t>Income + payroll tax paid this year</t>
        </is>
      </c>
      <c r="F91" s="16" t="inlineStr">
        <is>
          <t>Social Security</t>
        </is>
      </c>
      <c r="G91" s="16" t="inlineStr">
        <is>
          <t>Taken out of investments (net)</t>
        </is>
      </c>
      <c r="H91" s="16" t="inlineStr">
        <is>
          <t>Withdrawal rate</t>
        </is>
      </c>
      <c r="I91" s="16" t="inlineStr">
        <is>
          <t>Investments at year end (today's $)</t>
        </is>
      </c>
      <c r="J91" s="16" t="inlineStr">
        <is>
          <t>Net worth at year end (today's $)</t>
        </is>
      </c>
      <c r="K91" s="16" t="inlineStr">
        <is>
          <t>Shortfall (costs your accounts couldn't cover)</t>
        </is>
      </c>
      <c r="L91" s="16" t="inlineStr">
        <is>
          <t>Return override (blank = default)</t>
        </is>
      </c>
      <c r="M91" s="16" t="inlineStr">
        <is>
          <t>Return used</t>
        </is>
      </c>
      <c r="N91" s="16" t="inlineStr">
        <is>
          <t>Household spending multiplier (blank = 100%)</t>
        </is>
      </c>
      <c r="O91" s="16" t="inlineStr">
        <is>
          <t>Price level vs today</t>
        </is>
      </c>
      <c r="P91" s="16" t="inlineStr">
        <is>
          <t>Tax-law index</t>
        </is>
      </c>
      <c r="Q91" s="16" t="inlineStr">
        <is>
          <t>Healthcare price level</t>
        </is>
      </c>
      <c r="R91" s="16" t="inlineStr">
        <is>
          <t>College price level</t>
        </is>
      </c>
      <c r="S91" s="16" t="inlineStr">
        <is>
          <t>Long-term care price level</t>
        </is>
      </c>
      <c r="T91" s="16">
        <f>household!$B$5&amp;" working?"</f>
        <v/>
      </c>
      <c r="U91" s="16">
        <f>household!$B$8&amp;" working?"</f>
        <v/>
      </c>
      <c r="V91" s="16" t="inlineStr">
        <is>
          <t>Either working?</t>
        </is>
      </c>
      <c r="W91" s="16">
        <f>household!$B$5&amp;"'s pay"</f>
        <v/>
      </c>
      <c r="X91" s="16">
        <f>household!$B$8&amp;"'s pay"</f>
        <v/>
      </c>
      <c r="Y91" s="16">
        <f>household!$B$5&amp;"'s retirement contributions"</f>
        <v/>
      </c>
      <c r="Z91" s="16">
        <f>household!$B$8&amp;"'s retirement contributions"</f>
        <v/>
      </c>
      <c r="AA91" s="16">
        <f>"Employer contributions for "&amp;household!$B$5</f>
        <v/>
      </c>
      <c r="AB91" s="16">
        <f>"Employer contributions for "&amp;household!$B$8</f>
        <v/>
      </c>
      <c r="AC91" s="16" t="inlineStr">
        <is>
          <t>HSA contributions</t>
        </is>
      </c>
      <c r="AD91" s="16" t="inlineStr">
        <is>
          <t>Total pay</t>
        </is>
      </c>
      <c r="AE91" s="16" t="inlineStr">
        <is>
          <t>Taxable pay</t>
        </is>
      </c>
      <c r="AF91" s="16" t="inlineStr">
        <is>
          <t>Social Security + Medicare payroll tax</t>
        </is>
      </c>
      <c r="AG91" s="16" t="inlineStr">
        <is>
          <t>Income tax withheld from pay</t>
        </is>
      </c>
      <c r="AH91" s="16" t="inlineStr">
        <is>
          <t>Take-home pay</t>
        </is>
      </c>
      <c r="AI91" s="16" t="inlineStr">
        <is>
          <t>One-off: other taxable income</t>
        </is>
      </c>
      <c r="AJ91" s="16" t="inlineStr">
        <is>
          <t>One-off: tax-free money in</t>
        </is>
      </c>
      <c r="AK91" s="16" t="inlineStr">
        <is>
          <t>One-off: expenses</t>
        </is>
      </c>
      <c r="AL91" s="16" t="inlineStr">
        <is>
          <t>Own your home?</t>
        </is>
      </c>
      <c r="AM91" s="16" t="inlineStr">
        <is>
          <t>Mortgage balance, start</t>
        </is>
      </c>
      <c r="AN91" s="16" t="inlineStr">
        <is>
          <t>Mortgage interest</t>
        </is>
      </c>
      <c r="AO91" s="16" t="inlineStr">
        <is>
          <t>Mortgage payments</t>
        </is>
      </c>
      <c r="AP91" s="16" t="inlineStr">
        <is>
          <t>Mortgage balance, end</t>
        </is>
      </c>
      <c r="AQ91" s="16" t="inlineStr">
        <is>
          <t>Home carrying costs</t>
        </is>
      </c>
      <c r="AR91" s="16" t="inlineStr">
        <is>
          <t>Housing after selling your home</t>
        </is>
      </c>
      <c r="AS91" s="16" t="inlineStr">
        <is>
          <t>Housing total</t>
        </is>
      </c>
      <c r="AT91" s="16" t="inlineStr">
        <is>
          <t>Household living (budget tab)</t>
        </is>
      </c>
      <c r="AU91" s="16" t="inlineStr">
        <is>
          <t>Renovations, cars, other (other_budget tab)</t>
        </is>
      </c>
      <c r="AV91" s="16" t="inlineStr">
        <is>
          <t>Kids: costs you pay</t>
        </is>
      </c>
      <c r="AW91" s="16" t="inlineStr">
        <is>
          <t>Kids: costs paid from college funds</t>
        </is>
      </c>
      <c r="AX91" s="16" t="inlineStr">
        <is>
          <t>College funds, start</t>
        </is>
      </c>
      <c r="AY91" s="16" t="inlineStr">
        <is>
          <t>Paid by college funds</t>
        </is>
      </c>
      <c r="AZ91" s="16" t="inlineStr">
        <is>
          <t>College costs paid by you</t>
        </is>
      </c>
      <c r="BA91" s="16" t="inlineStr">
        <is>
          <t>College funds, end</t>
        </is>
      </c>
      <c r="BB91" s="16" t="inlineStr">
        <is>
          <t>Employer health plan (while working)</t>
        </is>
      </c>
      <c r="BC91" s="16" t="inlineStr">
        <is>
          <t>Adults buying their own insurance</t>
        </is>
      </c>
      <c r="BD91" s="16" t="inlineStr">
        <is>
          <t>Kids on your plan</t>
        </is>
      </c>
      <c r="BE91" s="16" t="inlineStr">
        <is>
          <t>Marketplace premiums</t>
        </is>
      </c>
      <c r="BF91" s="16" t="inlineStr">
        <is>
          <t>Marketplace out-of-pocket</t>
        </is>
      </c>
      <c r="BG91" s="16" t="inlineStr">
        <is>
          <t>People on Medicare</t>
        </is>
      </c>
      <c r="BH91" s="16" t="inlineStr">
        <is>
          <t>Medicare B + D + Medigap premiums</t>
        </is>
      </c>
      <c r="BI91" s="16" t="inlineStr">
        <is>
          <t>Medicare out-of-pocket</t>
        </is>
      </c>
      <c r="BJ91" s="16" t="inlineStr">
        <is>
          <t>Medicare income surcharge (IRMAA)</t>
        </is>
      </c>
      <c r="BK91" s="16" t="inlineStr">
        <is>
          <t>People in long-term care</t>
        </is>
      </c>
      <c r="BL91" s="16" t="inlineStr">
        <is>
          <t>Long-term care</t>
        </is>
      </c>
      <c r="BM91" s="16" t="inlineStr">
        <is>
          <t>Healthcare total</t>
        </is>
      </c>
      <c r="BN91" s="16" t="inlineStr">
        <is>
          <t>HSA, start</t>
        </is>
      </c>
      <c r="BO91" s="16" t="inlineStr">
        <is>
          <t>Paid from HSA</t>
        </is>
      </c>
      <c r="BP91" s="16" t="inlineStr">
        <is>
          <t>HSA, end</t>
        </is>
      </c>
      <c r="BQ91" s="16" t="inlineStr">
        <is>
          <t>Property income after costs</t>
        </is>
      </c>
      <c r="BR91" s="16" t="inlineStr">
        <is>
          <t>Depreciation</t>
        </is>
      </c>
      <c r="BS91" s="16" t="inlineStr">
        <is>
          <t>Taxable property income</t>
        </is>
      </c>
      <c r="BT91" s="16" t="inlineStr">
        <is>
          <t>Property sale proceeds</t>
        </is>
      </c>
      <c r="BU91" s="16" t="inlineStr">
        <is>
          <t>Taxable gain on sales</t>
        </is>
      </c>
      <c r="BV91" s="16" t="inlineStr">
        <is>
          <t>Depreciation recapture</t>
        </is>
      </c>
      <c r="BW91" s="16" t="inlineStr">
        <is>
          <t>Home value, end</t>
        </is>
      </c>
      <c r="BX91" s="16" t="inlineStr">
        <is>
          <t>Other property values, end</t>
        </is>
      </c>
      <c r="BY91" s="16">
        <f>household!$B$5&amp;"'s Social Security"</f>
        <v/>
      </c>
      <c r="BZ91" s="16">
        <f>household!$B$8&amp;"'s Social Security"</f>
        <v/>
      </c>
      <c r="CA91" s="16">
        <f>household!$B$5&amp;"'s workplace pension"</f>
        <v/>
      </c>
      <c r="CB91" s="16">
        <f>household!$B$8&amp;"'s workplace pension"</f>
        <v/>
      </c>
      <c r="CC91" s="16" t="inlineStr">
        <is>
          <t>Taxable, start</t>
        </is>
      </c>
      <c r="CD91" s="16" t="inlineStr">
        <is>
          <t>Cost basis, start</t>
        </is>
      </c>
      <c r="CE91" s="16" t="inlineStr">
        <is>
          <t>Dividends</t>
        </is>
      </c>
      <c r="CF91" s="16">
        <f>household!$B$5&amp;" pre-tax, start"</f>
        <v/>
      </c>
      <c r="CG91" s="16">
        <f>household!$B$8&amp;" pre-tax, start"</f>
        <v/>
      </c>
      <c r="CH91" s="16">
        <f>household!$B$5&amp;"'s required withdrawal"</f>
        <v/>
      </c>
      <c r="CI91" s="16">
        <f>household!$B$8&amp;"'s required withdrawal"</f>
        <v/>
      </c>
      <c r="CJ91" s="16" t="inlineStr">
        <is>
          <t>Roth, start</t>
        </is>
      </c>
      <c r="CK91" s="16" t="inlineStr">
        <is>
          <t>Roth conversion planned</t>
        </is>
      </c>
      <c r="CL91" s="16">
        <f>household!$B$5&amp;" pre-tax available"</f>
        <v/>
      </c>
      <c r="CM91" s="16">
        <f>household!$B$8&amp;" pre-tax available"</f>
        <v/>
      </c>
      <c r="CN91" s="16" t="inlineStr">
        <is>
          <t>Last year's income tax still owed</t>
        </is>
      </c>
      <c r="CO91" s="16" t="inlineStr">
        <is>
          <t>Cash coming in</t>
        </is>
      </c>
      <c r="CP91" s="16" t="inlineStr">
        <is>
          <t>Still needed (+) or surplus (-)</t>
        </is>
      </c>
      <c r="CQ91" s="16" t="inlineStr">
        <is>
          <t>Sold from taxable</t>
        </is>
      </c>
      <c r="CR91" s="16" t="inlineStr">
        <is>
          <t>Withdrawn from pre-tax</t>
        </is>
      </c>
      <c r="CS91" s="16">
        <f>"... from "&amp;household!$B$5&amp;"'s"</f>
        <v/>
      </c>
      <c r="CT91" s="16">
        <f>"... from "&amp;household!$B$8&amp;"'s"</f>
        <v/>
      </c>
      <c r="CU91" s="16" t="inlineStr">
        <is>
          <t>Withdrawn from Roth</t>
        </is>
      </c>
      <c r="CV91" s="16" t="inlineStr">
        <is>
          <t>Extra from HSA (last resort)</t>
        </is>
      </c>
      <c r="CW91" s="16" t="inlineStr">
        <is>
          <t>Surplus reinvested</t>
        </is>
      </c>
      <c r="CX91" s="16" t="inlineStr">
        <is>
          <t>Roth conversion</t>
        </is>
      </c>
      <c r="CY91" s="16">
        <f>"... from "&amp;household!$B$5&amp;"'s"</f>
        <v/>
      </c>
      <c r="CZ91" s="16">
        <f>"... from "&amp;household!$B$8&amp;"'s"</f>
        <v/>
      </c>
      <c r="DA91" s="16" t="inlineStr">
        <is>
          <t>Gain share of sales</t>
        </is>
      </c>
      <c r="DB91" s="16" t="inlineStr">
        <is>
          <t>Capital gains realized</t>
        </is>
      </c>
      <c r="DC91" s="16" t="inlineStr">
        <is>
          <t>Taxable, end</t>
        </is>
      </c>
      <c r="DD91" s="16" t="inlineStr">
        <is>
          <t>Cost basis, end</t>
        </is>
      </c>
      <c r="DE91" s="16">
        <f>household!$B$5&amp;" pre-tax, end"</f>
        <v/>
      </c>
      <c r="DF91" s="16">
        <f>household!$B$8&amp;" pre-tax, end"</f>
        <v/>
      </c>
      <c r="DG91" s="16" t="inlineStr">
        <is>
          <t>Roth, end</t>
        </is>
      </c>
      <c r="DH91" s="16" t="inlineStr">
        <is>
          <t>Ordinary income</t>
        </is>
      </c>
      <c r="DI91" s="16" t="inlineStr">
        <is>
          <t>Dividends + capital gains</t>
        </is>
      </c>
      <c r="DJ91" s="16" t="inlineStr">
        <is>
          <t>Taxable Social Security</t>
        </is>
      </c>
      <c r="DK91" s="16" t="inlineStr">
        <is>
          <t>Adjusted gross income</t>
        </is>
      </c>
      <c r="DL91" s="16" t="inlineStr">
        <is>
          <t>People 65+</t>
        </is>
      </c>
      <c r="DM91" s="16" t="inlineStr">
        <is>
          <t>Standard deduction</t>
        </is>
      </c>
      <c r="DN91" s="16" t="inlineStr">
        <is>
          <t>Senior deduction</t>
        </is>
      </c>
      <c r="DO91" s="16" t="inlineStr">
        <is>
          <t>SALT cap</t>
        </is>
      </c>
      <c r="DP91" s="16" t="inlineStr">
        <is>
          <t>Medical deduction</t>
        </is>
      </c>
      <c r="DQ91" s="16" t="inlineStr">
        <is>
          <t>Itemized deductions</t>
        </is>
      </c>
      <c r="DR91" s="16" t="inlineStr">
        <is>
          <t>Deduction used</t>
        </is>
      </c>
      <c r="DS91" s="16" t="inlineStr">
        <is>
          <t>Taxable ordinary income</t>
        </is>
      </c>
      <c r="DT91" s="16" t="inlineStr">
        <is>
          <t>Taxable gains + dividends</t>
        </is>
      </c>
      <c r="DU91" s="16" t="inlineStr">
        <is>
          <t>Federal income tax</t>
        </is>
      </c>
      <c r="DV91" s="16" t="inlineStr">
        <is>
          <t>Moved to another state?</t>
        </is>
      </c>
      <c r="DW91" s="16" t="inlineStr">
        <is>
          <t>State retirement-income exclusion</t>
        </is>
      </c>
      <c r="DX91" s="16" t="inlineStr">
        <is>
          <t>State taxable income</t>
        </is>
      </c>
      <c r="DY91" s="16" t="inlineStr">
        <is>
          <t>State income tax</t>
        </is>
      </c>
      <c r="DZ91" s="16" t="inlineStr">
        <is>
          <t>Local income tax</t>
        </is>
      </c>
      <c r="EA91" s="16" t="inlineStr">
        <is>
          <t>New state's income tax</t>
        </is>
      </c>
      <c r="EB91" s="16" t="inlineStr">
        <is>
          <t>Income tax for the year</t>
        </is>
      </c>
      <c r="EC91" s="16" t="inlineStr">
        <is>
          <t>Investments, end</t>
        </is>
      </c>
      <c r="ED91" s="16" t="inlineStr">
        <is>
          <t>Net worth, end</t>
        </is>
      </c>
    </row>
    <row r="92">
      <c r="A92" s="12">
        <f>household!$B$4+0</f>
        <v/>
      </c>
      <c r="B92" s="12">
        <f>A92-household!$B$6</f>
        <v/>
      </c>
      <c r="C92" s="12">
        <f>A92-household!$B$9</f>
        <v/>
      </c>
      <c r="D92" s="15">
        <f>AS92+AT92+AU92+AV92+AZ92+BM92+AK92</f>
        <v/>
      </c>
      <c r="E92" s="15">
        <f>CN92+AG92+AF92</f>
        <v/>
      </c>
      <c r="F92" s="15">
        <f>BY92+BZ92</f>
        <v/>
      </c>
      <c r="G92" s="15">
        <f>CQ92+CR92+CU92+CH92+CI92+CE92-CW92+CV92+BO92</f>
        <v/>
      </c>
      <c r="H92" s="22">
        <f>IF(CC92+CF92+CG92+CJ92+BN92&lt;=0,"",G92/(CC92+CF92+CG92+CJ92+BN92))</f>
        <v/>
      </c>
      <c r="I92" s="23">
        <f>EC92/O92</f>
        <v/>
      </c>
      <c r="J92" s="23">
        <f>ED92/O92</f>
        <v/>
      </c>
      <c r="K92" s="15">
        <f>MAX(0,CP92-CQ92-CR92-CU92-CV92)</f>
        <v/>
      </c>
      <c r="L92" s="11" t="n"/>
      <c r="M92" s="22">
        <f>IF(L92="",$B$19,L92)</f>
        <v/>
      </c>
      <c r="N92" s="14" t="n"/>
      <c r="O92" s="13">
        <f>(1+$B$18)^(A92-household!$B$4+1)</f>
        <v/>
      </c>
      <c r="P92" s="13">
        <f>(1+$B$18)^(A92-tax_tables!$B$4)</f>
        <v/>
      </c>
      <c r="Q92" s="13">
        <f>(1+$B$21)^(A92-household!$B$4+1)</f>
        <v/>
      </c>
      <c r="R92" s="13">
        <f>(1+$B$22)^(A92-household!$B$4+1)</f>
        <v/>
      </c>
      <c r="S92" s="13">
        <f>(1+$B$23)^(A92-household!$B$4+1)</f>
        <v/>
      </c>
      <c r="T92" s="12">
        <f>IF(A92&lt;$B$5,1,0)</f>
        <v/>
      </c>
      <c r="U92" s="12">
        <f>IF(A92&lt;$B$6,1,0)</f>
        <v/>
      </c>
      <c r="V92" s="12">
        <f>IF(T92+U92&gt;0,1,0)</f>
        <v/>
      </c>
      <c r="W92" s="15">
        <f>T92*$B$7*O92+SUMPRODUCT(($B$83:$B$88=A92)*($D$83:$D$88="Wages: person 1")*$C$83:$C$88)*O92</f>
        <v/>
      </c>
      <c r="X92" s="15">
        <f>U92*$B$8*O92+SUMPRODUCT(($B$83:$B$88=A92)*($D$83:$D$88="Wages: person 2")*$C$83:$C$88)*O92</f>
        <v/>
      </c>
      <c r="Y92" s="15">
        <f>T92*$B$9*O92</f>
        <v/>
      </c>
      <c r="Z92" s="15">
        <f>U92*$B$10*O92</f>
        <v/>
      </c>
      <c r="AA92" s="15">
        <f>T92*$B$11*O92</f>
        <v/>
      </c>
      <c r="AB92" s="15">
        <f>U92*$B$12*O92</f>
        <v/>
      </c>
      <c r="AC92" s="15">
        <f>V92*$B$13*O92</f>
        <v/>
      </c>
      <c r="AD92" s="15">
        <f>W92+X92</f>
        <v/>
      </c>
      <c r="AE92" s="15">
        <f>AD92-Y92-Z92-AC92</f>
        <v/>
      </c>
      <c r="AF92" s="15">
        <f>0.062*MIN(W92,tax_tables!$B$21*P92)+0.062*MIN(X92,tax_tables!$B$21*P92)+0.0145*AD92+0.009*MAX(0,AD92-tax_tables!$B$22)</f>
        <v/>
      </c>
      <c r="AG92" s="15">
        <f>$B$14*AE92</f>
        <v/>
      </c>
      <c r="AH92" s="15">
        <f>AD92-Y92-Z92-AC92-AF92-AG92</f>
        <v/>
      </c>
      <c r="AI92" s="15">
        <f>SUMPRODUCT(($B$83:$B$88=A92)*($D$83:$D$88="Other taxable income")*$C$83:$C$88)*O92</f>
        <v/>
      </c>
      <c r="AJ92" s="15">
        <f>SUMPRODUCT(($B$83:$B$88=A92)*($D$83:$D$88="Tax-free money in")*$C$83:$C$88)*O92</f>
        <v/>
      </c>
      <c r="AK92" s="15">
        <f>SUMPRODUCT(($B$83:$B$88=A92)*($D$83:$D$88="Expense")*$C$83:$C$88)*O92</f>
        <v/>
      </c>
      <c r="AL92" s="12">
        <f>IF(OR($B$75="",A92&lt;$B$75),1,0)</f>
        <v/>
      </c>
      <c r="AM92" s="15">
        <f>properties!$I$2</f>
        <v/>
      </c>
      <c r="AN92" s="15">
        <f>AL92*AM92*properties!$J$2</f>
        <v/>
      </c>
      <c r="AO92" s="15">
        <f>AL92*MIN(properties!$K$2,AM92+AN92)</f>
        <v/>
      </c>
      <c r="AP92" s="15">
        <f>AL92*(AM92+AN92-AO92)</f>
        <v/>
      </c>
      <c r="AQ92" s="15">
        <f>AL92*properties!$G$2*O92</f>
        <v/>
      </c>
      <c r="AR92" s="15">
        <f>(1-AL92)*$E$75*O92</f>
        <v/>
      </c>
      <c r="AS92" s="15">
        <f>AO92+AQ92+AR92</f>
        <v/>
      </c>
      <c r="AT92" s="15">
        <f>SUMIF(budget!$A$2:$A$300,"household",budget!$F$2:$F$300)*O92*IF(N92="",1,N92)</f>
        <v/>
      </c>
      <c r="AU92" s="15">
        <f>SUMPRODUCT((other_budget!$C$2:$C$30&lt;=A92)*(other_budget!$D$2:$D$30&gt;=A92)*other_budget!$B$2:$B$30)*O92</f>
        <v/>
      </c>
      <c r="AV92" s="15">
        <f>SUMPRODUCT((kids_budget!$D$2:$D$40&lt;=A92)*(kids_budget!$E$2:$E$40&gt;=A92)*(kids_budget!$G$2:$G$40&lt;&gt;"college_funds")*kids_budget!$C$2:$C$40*((kids_budget!$F$2:$F$40="college")*R92+(kids_budget!$F$2:$F$40&lt;&gt;"college")*O92))</f>
        <v/>
      </c>
      <c r="AW92" s="15">
        <f>SUMPRODUCT((kids_budget!$D$2:$D$40&lt;=A92)*(kids_budget!$E$2:$E$40&gt;=A92)*(kids_budget!$G$2:$G$40="college_funds")*kids_budget!$C$2:$C$40*((kids_budget!$F$2:$F$40="college")*R92+(kids_budget!$F$2:$F$40&lt;&gt;"college")*O92))</f>
        <v/>
      </c>
      <c r="AX92" s="15">
        <f>$B$70</f>
        <v/>
      </c>
      <c r="AY92" s="15">
        <f>MIN(AW92,AX92*(1+M92))</f>
        <v/>
      </c>
      <c r="AZ92" s="15">
        <f>AW92-AY92</f>
        <v/>
      </c>
      <c r="BA92" s="15">
        <f>AX92*(1+M92)-AY92</f>
        <v/>
      </c>
      <c r="BB92" s="15">
        <f>V92*healthcare!$B$5*Q92</f>
        <v/>
      </c>
      <c r="BC92" s="12">
        <f>(1-V92)*((B92&lt;65)+(C92&lt;65))</f>
        <v/>
      </c>
      <c r="BD92" s="12">
        <f>COUNTIF(household!$C$16:$C$23,"&gt;="&amp;A92)</f>
        <v/>
      </c>
      <c r="BE92" s="15">
        <f>(BC92*healthcare!$B$2+IF(BC92&gt;0,BD92,0)*healthcare!$B$3)*12*Q92</f>
        <v/>
      </c>
      <c r="BF92" s="15">
        <f>IF(BC92&gt;0,(BC92+BD92)*healthcare!$B$4*Q92,0)</f>
        <v/>
      </c>
      <c r="BG92" s="12">
        <f>(B92&gt;=65)+(C92&gt;=65)</f>
        <v/>
      </c>
      <c r="BH92" s="15">
        <f>BG92*(healthcare!$B$6+healthcare!$B$7+healthcare!$B$8)*12*Q92</f>
        <v/>
      </c>
      <c r="BI92" s="15">
        <f>BG92*healthcare!$B$9*Q92</f>
        <v/>
      </c>
      <c r="BJ92" s="15">
        <f>0</f>
        <v/>
      </c>
      <c r="BK92" s="12">
        <f>AND(B92&gt;=$B$51,B92&lt;$B$51+$B$52)*1+AND(C92&gt;=$B$53,C92&lt;$B$53+$B$54)*1</f>
        <v/>
      </c>
      <c r="BL92" s="15">
        <f>BK92*$B$55*S92</f>
        <v/>
      </c>
      <c r="BM92" s="15">
        <f>BB92+BE92+BF92+BH92+BI92+BJ92+BL92</f>
        <v/>
      </c>
      <c r="BN92" s="15">
        <f>$B$69</f>
        <v/>
      </c>
      <c r="BO92" s="15">
        <f>IF(V92=1,0,MIN(BN92*(1+M92),BF92+BG92*(healthcare!$B$6+healthcare!$B$7)*12*Q92+BI92+BJ92+BL92))</f>
        <v/>
      </c>
      <c r="BP92" s="15">
        <f>BN92*(1+M92)-BO92+AC92-CV92</f>
        <v/>
      </c>
      <c r="BQ92" s="15">
        <f>SUMPRODUCT((1-($B$76:$B$79&gt;0)*(A92&gt;=$B$76:$B$79))*(1-(($C$76:$C$79&gt;0)*(A92&gt;=$C$76:$C$79)))*(properties!$L$3:$L$6-properties!$M$3:$M$6))*O92+SUMPRODUCT((1-($B$76:$B$79&gt;0)*(A92&gt;=$B$76:$B$79))*(($C$76:$C$79&gt;0)*(A92&gt;=$C$76:$C$79))*($D$76:$D$79-$E$76:$E$79))*O92</f>
        <v/>
      </c>
      <c r="BR92" s="15">
        <f>SUMPRODUCT((1-($B$76:$B$79&gt;0)*(A92&gt;=$B$76:$B$79))*properties!$N$3:$N$6*(A92&lt;=properties!$O$3:$O$6))</f>
        <v/>
      </c>
      <c r="BS92" s="15">
        <f>MAX(0,BQ92-BR92)</f>
        <v/>
      </c>
      <c r="BT92" s="15">
        <f>SUMPRODUCT(($B$75:$B$79=A92)*$G$75:$G$79)</f>
        <v/>
      </c>
      <c r="BU92" s="15">
        <f>SUMPRODUCT(($B$75:$B$79=A92)*$H$75:$H$79)</f>
        <v/>
      </c>
      <c r="BV92" s="15">
        <f>SUMPRODUCT(($B$75:$B$79=A92)*$I$75:$I$79)</f>
        <v/>
      </c>
      <c r="BW92" s="15">
        <f>AL92*properties!$C$2*(1+properties!$D$2)^(A92-household!$B$4+1)</f>
        <v/>
      </c>
      <c r="BX92" s="15">
        <f>SUMPRODUCT((1-($B$76:$B$79&gt;0)*(A92&gt;=$B$76:$B$79))*properties!$C$3:$C$6*(1+properties!$D$3:$D$6)^(A92-household!$B$4+1))</f>
        <v/>
      </c>
      <c r="BY92" s="15">
        <f>IF(A92&gt;=$B$31,IF(A92&gt;=$B$32,MAX(household!$B$11*12*(1-$B$28)*O92*IF(A92&gt;=$B$30,1-$B$29,1)*$B$33,0.5*household!$B$12*12*(1-$B$28)*O92*IF(A92&gt;=$B$30,1-$B$29,1)*$B$35),household!$B$11*12*(1-$B$28)*O92*IF(A92&gt;=$B$30,1-$B$29,1)*$B$33),0)</f>
        <v/>
      </c>
      <c r="BZ92" s="15">
        <f>IF(A92&gt;=$B$32,IF(A92&gt;=$B$31,MAX(household!$B$12*12*(1-$B$28)*O92*IF(A92&gt;=$B$30,1-$B$29,1)*$B$34,0.5*household!$B$11*12*(1-$B$28)*O92*IF(A92&gt;=$B$30,1-$B$29,1)*$B$36),household!$B$12*12*(1-$B$28)*O92*IF(A92&gt;=$B$30,1-$B$29,1)*$B$34),0)</f>
        <v/>
      </c>
      <c r="CA92" s="15">
        <f>IF(AND($B$43&lt;&gt;0,A92&gt;=household!$B$6+$B$44),$B$43*(1+$B$18)^(MAX(household!$B$6+$B$44,household!$B$4-1)-household!$B$4+1)*(1+$B$47*$B$18)^(A92-MAX(household!$B$6+$B$44,household!$B$4-1)),0)</f>
        <v/>
      </c>
      <c r="CB92" s="15">
        <f>IF(AND($B$45&lt;&gt;0,A92&gt;=household!$B$9+$B$46),$B$45*(1+$B$18)^(MAX(household!$B$9+$B$46,household!$B$4-1)-household!$B$4+1)*(1+$B$47*$B$18)^(A92-MAX(household!$B$9+$B$46,household!$B$4-1)),0)</f>
        <v/>
      </c>
      <c r="CC92" s="15">
        <f>$B$64</f>
        <v/>
      </c>
      <c r="CD92" s="15">
        <f>$B$65</f>
        <v/>
      </c>
      <c r="CE92" s="15">
        <f>$B$20*CC92</f>
        <v/>
      </c>
      <c r="CF92" s="15">
        <f>$B$66</f>
        <v/>
      </c>
      <c r="CG92" s="15">
        <f>$B$67</f>
        <v/>
      </c>
      <c r="CH92" s="15">
        <f>IF(B92&gt;=$B$71,MAX(0,CF92)/INDEX(tax_tables!$Z$5:$Z$53,MATCH(B92,tax_tables!$Y$5:$Y$53,0)),0)</f>
        <v/>
      </c>
      <c r="CI92" s="15">
        <f>IF(C92&gt;=$B$72,MAX(0,CG92)/INDEX(tax_tables!$Z$5:$Z$53,MATCH(C92,tax_tables!$Y$5:$Y$53,0)),0)</f>
        <v/>
      </c>
      <c r="CJ92" s="15">
        <f>$B$68</f>
        <v/>
      </c>
      <c r="CK92" s="15">
        <f>IF(OR($B$59="",$B$60=""),0,IF(AND(A92&gt;=$B$59,A92&lt;=$B$60),$B$58*O92,0))</f>
        <v/>
      </c>
      <c r="CL92" s="15">
        <f>MAX(0,CF92*(1+M92)-CH92)</f>
        <v/>
      </c>
      <c r="CM92" s="15">
        <f>MAX(0,CG92*(1+M92)-CI92)</f>
        <v/>
      </c>
      <c r="CN92" s="15">
        <f>$B$15</f>
        <v/>
      </c>
      <c r="CO92" s="15">
        <f>AH92+F92+CA92+CB92+BQ92+CE92+CH92+CI92+BT92+AI92+AJ92+BO92</f>
        <v/>
      </c>
      <c r="CP92" s="15">
        <f>D92+CN92-CO92</f>
        <v/>
      </c>
      <c r="CQ92" s="15">
        <f>MAX(0,MIN(CP92,CC92*(1+M92-$B$20)))</f>
        <v/>
      </c>
      <c r="CR92" s="15">
        <f>MAX(0,MIN(CP92-CQ92,CL92+CM92))</f>
        <v/>
      </c>
      <c r="CS92" s="15">
        <f>IF(CL92+CM92&gt;1,CR92*CL92/(CL92+CM92),0)</f>
        <v/>
      </c>
      <c r="CT92" s="15">
        <f>CR92-CS92</f>
        <v/>
      </c>
      <c r="CU92" s="15">
        <f>MAX(0,MIN(CP92-CQ92-CR92,CJ92*(1+M92)))</f>
        <v/>
      </c>
      <c r="CV92" s="15">
        <f>MAX(0,MIN(CP92-CQ92-CR92-CU92,BN92*(1+M92)-BO92+AC92))</f>
        <v/>
      </c>
      <c r="CW92" s="15">
        <f>MAX(0,-CP92)</f>
        <v/>
      </c>
      <c r="CX92" s="15">
        <f>MIN(CK92,CL92-CS92+CM92-CT92)</f>
        <v/>
      </c>
      <c r="CY92" s="15">
        <f>IF(CL92-CS92+CM92-CT92&gt;1,CX92*(CL92-CS92)/(CL92-CS92+CM92-CT92),0)</f>
        <v/>
      </c>
      <c r="CZ92" s="15">
        <f>CX92-CY92</f>
        <v/>
      </c>
      <c r="DA92" s="22">
        <f>IF(CC92&gt;0,MAX(0,1-CD92/CC92),0)</f>
        <v/>
      </c>
      <c r="DB92" s="15">
        <f>CQ92*DA92</f>
        <v/>
      </c>
      <c r="DC92" s="15">
        <f>CC92*(1+M92-$B$20)-CQ92+CW92</f>
        <v/>
      </c>
      <c r="DD92" s="15">
        <f>CD92-(CQ92-DB92)+CW92</f>
        <v/>
      </c>
      <c r="DE92" s="15">
        <f>CF92*(1+M92)-CH92-CS92-CY92+Y92+AA92</f>
        <v/>
      </c>
      <c r="DF92" s="15">
        <f>CG92*(1+M92)-CI92-CT92-CZ92+Z92+AB92</f>
        <v/>
      </c>
      <c r="DG92" s="15">
        <f>CJ92*(1+M92)-CU92+CX92</f>
        <v/>
      </c>
      <c r="DH92" s="15">
        <f>AE92+CR92+CH92+CI92+CX92+CV92+BS92+AI92+CA92+CB92</f>
        <v/>
      </c>
      <c r="DI92" s="15">
        <f>CE92+DB92+BU92</f>
        <v/>
      </c>
      <c r="DJ92" s="15">
        <f>IF((DH92+DI92+0.5*F92)&lt;=tax_tables!$B$14,0,IF((DH92+DI92+0.5*F92)&lt;=tax_tables!$B$15,MIN(0.5*F92,0.5*((DH92+DI92+0.5*F92)-tax_tables!$B$14)),MIN(0.85*F92,0.85*((DH92+DI92+0.5*F92)-tax_tables!$B$15)+MIN(0.5*F92,tax_tables!$B$15-tax_tables!$B$14))))</f>
        <v/>
      </c>
      <c r="DK92" s="15">
        <f>DH92+DI92+DJ92</f>
        <v/>
      </c>
      <c r="DL92" s="12">
        <f>(B92&gt;=65)+(C92&gt;=65)</f>
        <v/>
      </c>
      <c r="DM92" s="15">
        <f>(tax_tables!$B$5+tax_tables!$B$6*DL92)*P92</f>
        <v/>
      </c>
      <c r="DN92" s="15">
        <f>IF(AND(A92&gt;=tax_tables!$B$8,A92&lt;=tax_tables!$B$9),DL92*MAX(0,tax_tables!$B$7-tax_tables!$B$11*MAX(0,DK92-tax_tables!$B$10)),0)</f>
        <v/>
      </c>
      <c r="DO92" s="15">
        <f>IFERROR(MAX(tax_tables!$B$16,INDEX(tax_tables!$W$5:$W$8,MATCH(A92,tax_tables!$V$5:$V$8,0))-tax_tables!$B$18*MAX(0,DK92-tax_tables!$B$17*1.01^(A92-tax_tables!$B$4))),tax_tables!$B$16)</f>
        <v/>
      </c>
      <c r="DP92" s="15">
        <f>MAX(0,BM92-BB92-tax_tables!$B$23*DK92)</f>
        <v/>
      </c>
      <c r="DQ92" s="15">
        <f>AN92+MIN(DO92,0+AL92*properties!$H$2*O92)+DP92+$B$61*O92</f>
        <v/>
      </c>
      <c r="DR92" s="15">
        <f>MAX(DM92,DQ92)</f>
        <v/>
      </c>
      <c r="DS92" s="15">
        <f>MAX(0,DH92+DJ92-DR92-DN92)</f>
        <v/>
      </c>
      <c r="DT92" s="15">
        <f>MAX(0,DI92-MAX(0,DR92+DN92-DH92-DJ92))</f>
        <v/>
      </c>
      <c r="DU92" s="15">
        <f>SUMPRODUCT((DS92&gt;tax_tables!$E$5:$E$16*P92)*(DS92-tax_tables!$E$5:$E$16*P92)*tax_tables!$G$5:$G$16)+SUMPRODUCT(((DS92+DT92)&gt;tax_tables!$I$5:$I$16*P92)*((DS92+DT92)-tax_tables!$I$5:$I$16*P92)*tax_tables!$K$5:$K$16)-SUMPRODUCT((DS92&gt;tax_tables!$I$5:$I$16*P92)*(DS92-tax_tables!$I$5:$I$16*P92)*tax_tables!$K$5:$K$16)+tax_tables!$B$19*BV92+tax_tables!$B$12*MIN(CE92+DB92+BS92+BU92,MAX(0,DK92-tax_tables!$B$13))</f>
        <v/>
      </c>
      <c r="DV92" s="12">
        <f>IF($B$39="",0,IF(A92&gt;=$B$39,1,0))</f>
        <v/>
      </c>
      <c r="DW92" s="15">
        <f>IF(B92+0.5&gt;=tax_tables!$B$30,MIN(CS92+CH92+CY92+CA92,tax_tables!$B$29),0)+IF(C92+0.5&gt;=tax_tables!$B$30,MIN(CT92+CI92+CZ92+CB92,tax_tables!$B$29),0)</f>
        <v/>
      </c>
      <c r="DX92" s="15">
        <f>MAX(0,DK92-tax_tables!$B$28*DJ92-DW92-tax_tables!$B$26*IF(tax_tables!$B$27=1,P92,1))</f>
        <v/>
      </c>
      <c r="DY92" s="15">
        <f>(1-DV92)*SUMPRODUCT((DX92&gt;tax_tables!$M$5:$M$16*IF(tax_tables!$B$27=1,P92,1))*(DX92-tax_tables!$M$5:$M$16*IF(tax_tables!$B$27=1,P92,1))*tax_tables!$O$5:$O$16)</f>
        <v/>
      </c>
      <c r="DZ92" s="15">
        <f>(1-DV92)*tax_tables!$B$31*DX92</f>
        <v/>
      </c>
      <c r="EA92" s="15">
        <f>DV92*$B$40*MAX(0,DK92-DJ92)</f>
        <v/>
      </c>
      <c r="EB92" s="15">
        <f>DU92+DY92+DZ92+EA92</f>
        <v/>
      </c>
      <c r="EC92" s="15">
        <f>DC92+DE92+DF92+DG92+BP92</f>
        <v/>
      </c>
      <c r="ED92" s="15">
        <f>EC92+BW92-AP92+BX92</f>
        <v/>
      </c>
    </row>
    <row r="93">
      <c r="A93" s="12">
        <f>A92+1</f>
        <v/>
      </c>
      <c r="B93" s="12">
        <f>A93-household!$B$6</f>
        <v/>
      </c>
      <c r="C93" s="12">
        <f>A93-household!$B$9</f>
        <v/>
      </c>
      <c r="D93" s="15">
        <f>AS93+AT93+AU93+AV93+AZ93+BM93+AK93</f>
        <v/>
      </c>
      <c r="E93" s="15">
        <f>CN93+AG93+AF93</f>
        <v/>
      </c>
      <c r="F93" s="15">
        <f>BY93+BZ93</f>
        <v/>
      </c>
      <c r="G93" s="15">
        <f>CQ93+CR93+CU93+CH93+CI93+CE93-CW93+CV93+BO93</f>
        <v/>
      </c>
      <c r="H93" s="22">
        <f>IF(CC93+CF93+CG93+CJ93+BN93&lt;=0,"",G93/(CC93+CF93+CG93+CJ93+BN93))</f>
        <v/>
      </c>
      <c r="I93" s="23">
        <f>EC93/O93</f>
        <v/>
      </c>
      <c r="J93" s="23">
        <f>ED93/O93</f>
        <v/>
      </c>
      <c r="K93" s="15">
        <f>MAX(0,CP93-CQ93-CR93-CU93-CV93)</f>
        <v/>
      </c>
      <c r="L93" s="11" t="n"/>
      <c r="M93" s="22">
        <f>IF(L93="",$B$19,L93)</f>
        <v/>
      </c>
      <c r="N93" s="14" t="n"/>
      <c r="O93" s="13">
        <f>(1+$B$18)^(A93-household!$B$4+1)</f>
        <v/>
      </c>
      <c r="P93" s="13">
        <f>(1+$B$18)^(A93-tax_tables!$B$4)</f>
        <v/>
      </c>
      <c r="Q93" s="13">
        <f>(1+$B$21)^(A93-household!$B$4+1)</f>
        <v/>
      </c>
      <c r="R93" s="13">
        <f>(1+$B$22)^(A93-household!$B$4+1)</f>
        <v/>
      </c>
      <c r="S93" s="13">
        <f>(1+$B$23)^(A93-household!$B$4+1)</f>
        <v/>
      </c>
      <c r="T93" s="12">
        <f>IF(A93&lt;$B$5,1,0)</f>
        <v/>
      </c>
      <c r="U93" s="12">
        <f>IF(A93&lt;$B$6,1,0)</f>
        <v/>
      </c>
      <c r="V93" s="12">
        <f>IF(T93+U93&gt;0,1,0)</f>
        <v/>
      </c>
      <c r="W93" s="15">
        <f>T93*$B$7*O93+SUMPRODUCT(($B$83:$B$88=A93)*($D$83:$D$88="Wages: person 1")*$C$83:$C$88)*O93</f>
        <v/>
      </c>
      <c r="X93" s="15">
        <f>U93*$B$8*O93+SUMPRODUCT(($B$83:$B$88=A93)*($D$83:$D$88="Wages: person 2")*$C$83:$C$88)*O93</f>
        <v/>
      </c>
      <c r="Y93" s="15">
        <f>T93*$B$9*O93</f>
        <v/>
      </c>
      <c r="Z93" s="15">
        <f>U93*$B$10*O93</f>
        <v/>
      </c>
      <c r="AA93" s="15">
        <f>T93*$B$11*O93</f>
        <v/>
      </c>
      <c r="AB93" s="15">
        <f>U93*$B$12*O93</f>
        <v/>
      </c>
      <c r="AC93" s="15">
        <f>V93*$B$13*O93</f>
        <v/>
      </c>
      <c r="AD93" s="15">
        <f>W93+X93</f>
        <v/>
      </c>
      <c r="AE93" s="15">
        <f>AD93-Y93-Z93-AC93</f>
        <v/>
      </c>
      <c r="AF93" s="15">
        <f>0.062*MIN(W93,tax_tables!$B$21*P93)+0.062*MIN(X93,tax_tables!$B$21*P93)+0.0145*AD93+0.009*MAX(0,AD93-tax_tables!$B$22)</f>
        <v/>
      </c>
      <c r="AG93" s="15">
        <f>$B$14*AE93</f>
        <v/>
      </c>
      <c r="AH93" s="15">
        <f>AD93-Y93-Z93-AC93-AF93-AG93</f>
        <v/>
      </c>
      <c r="AI93" s="15">
        <f>SUMPRODUCT(($B$83:$B$88=A93)*($D$83:$D$88="Other taxable income")*$C$83:$C$88)*O93</f>
        <v/>
      </c>
      <c r="AJ93" s="15">
        <f>SUMPRODUCT(($B$83:$B$88=A93)*($D$83:$D$88="Tax-free money in")*$C$83:$C$88)*O93</f>
        <v/>
      </c>
      <c r="AK93" s="15">
        <f>SUMPRODUCT(($B$83:$B$88=A93)*($D$83:$D$88="Expense")*$C$83:$C$88)*O93</f>
        <v/>
      </c>
      <c r="AL93" s="12">
        <f>IF(OR($B$75="",A93&lt;$B$75),1,0)</f>
        <v/>
      </c>
      <c r="AM93" s="15">
        <f>AP92</f>
        <v/>
      </c>
      <c r="AN93" s="15">
        <f>AL93*AM93*properties!$J$2</f>
        <v/>
      </c>
      <c r="AO93" s="15">
        <f>AL93*MIN(properties!$K$2,AM93+AN93)</f>
        <v/>
      </c>
      <c r="AP93" s="15">
        <f>AL93*(AM93+AN93-AO93)</f>
        <v/>
      </c>
      <c r="AQ93" s="15">
        <f>AL93*properties!$G$2*O93</f>
        <v/>
      </c>
      <c r="AR93" s="15">
        <f>(1-AL93)*$E$75*O93</f>
        <v/>
      </c>
      <c r="AS93" s="15">
        <f>AO93+AQ93+AR93</f>
        <v/>
      </c>
      <c r="AT93" s="15">
        <f>SUMIF(budget!$A$2:$A$300,"household",budget!$F$2:$F$300)*O93*IF(N93="",1,N93)</f>
        <v/>
      </c>
      <c r="AU93" s="15">
        <f>SUMPRODUCT((other_budget!$C$2:$C$30&lt;=A93)*(other_budget!$D$2:$D$30&gt;=A93)*other_budget!$B$2:$B$30)*O93</f>
        <v/>
      </c>
      <c r="AV93" s="15">
        <f>SUMPRODUCT((kids_budget!$D$2:$D$40&lt;=A93)*(kids_budget!$E$2:$E$40&gt;=A93)*(kids_budget!$G$2:$G$40&lt;&gt;"college_funds")*kids_budget!$C$2:$C$40*((kids_budget!$F$2:$F$40="college")*R93+(kids_budget!$F$2:$F$40&lt;&gt;"college")*O93))</f>
        <v/>
      </c>
      <c r="AW93" s="15">
        <f>SUMPRODUCT((kids_budget!$D$2:$D$40&lt;=A93)*(kids_budget!$E$2:$E$40&gt;=A93)*(kids_budget!$G$2:$G$40="college_funds")*kids_budget!$C$2:$C$40*((kids_budget!$F$2:$F$40="college")*R93+(kids_budget!$F$2:$F$40&lt;&gt;"college")*O93))</f>
        <v/>
      </c>
      <c r="AX93" s="15">
        <f>BA92</f>
        <v/>
      </c>
      <c r="AY93" s="15">
        <f>MIN(AW93,AX93*(1+M93))</f>
        <v/>
      </c>
      <c r="AZ93" s="15">
        <f>AW93-AY93</f>
        <v/>
      </c>
      <c r="BA93" s="15">
        <f>AX93*(1+M93)-AY93</f>
        <v/>
      </c>
      <c r="BB93" s="15">
        <f>V93*healthcare!$B$5*Q93</f>
        <v/>
      </c>
      <c r="BC93" s="12">
        <f>(1-V93)*((B93&lt;65)+(C93&lt;65))</f>
        <v/>
      </c>
      <c r="BD93" s="12">
        <f>COUNTIF(household!$C$16:$C$23,"&gt;="&amp;A93)</f>
        <v/>
      </c>
      <c r="BE93" s="15">
        <f>(BC93*healthcare!$B$2+IF(BC93&gt;0,BD93,0)*healthcare!$B$3)*12*Q93</f>
        <v/>
      </c>
      <c r="BF93" s="15">
        <f>IF(BC93&gt;0,(BC93+BD93)*healthcare!$B$4*Q93,0)</f>
        <v/>
      </c>
      <c r="BG93" s="12">
        <f>(B93&gt;=65)+(C93&gt;=65)</f>
        <v/>
      </c>
      <c r="BH93" s="15">
        <f>BG93*(healthcare!$B$6+healthcare!$B$7+healthcare!$B$8)*12*Q93</f>
        <v/>
      </c>
      <c r="BI93" s="15">
        <f>BG93*healthcare!$B$9*Q93</f>
        <v/>
      </c>
      <c r="BJ93" s="15">
        <f>0</f>
        <v/>
      </c>
      <c r="BK93" s="12">
        <f>AND(B93&gt;=$B$51,B93&lt;$B$51+$B$52)*1+AND(C93&gt;=$B$53,C93&lt;$B$53+$B$54)*1</f>
        <v/>
      </c>
      <c r="BL93" s="15">
        <f>BK93*$B$55*S93</f>
        <v/>
      </c>
      <c r="BM93" s="15">
        <f>BB93+BE93+BF93+BH93+BI93+BJ93+BL93</f>
        <v/>
      </c>
      <c r="BN93" s="15">
        <f>BP92</f>
        <v/>
      </c>
      <c r="BO93" s="15">
        <f>IF(V93=1,0,MIN(BN93*(1+M93),BF93+BG93*(healthcare!$B$6+healthcare!$B$7)*12*Q93+BI93+BJ93+BL93))</f>
        <v/>
      </c>
      <c r="BP93" s="15">
        <f>BN93*(1+M93)-BO93+AC93-CV93</f>
        <v/>
      </c>
      <c r="BQ93" s="15">
        <f>SUMPRODUCT((1-($B$76:$B$79&gt;0)*(A93&gt;=$B$76:$B$79))*(1-(($C$76:$C$79&gt;0)*(A93&gt;=$C$76:$C$79)))*(properties!$L$3:$L$6-properties!$M$3:$M$6))*O93+SUMPRODUCT((1-($B$76:$B$79&gt;0)*(A93&gt;=$B$76:$B$79))*(($C$76:$C$79&gt;0)*(A93&gt;=$C$76:$C$79))*($D$76:$D$79-$E$76:$E$79))*O93</f>
        <v/>
      </c>
      <c r="BR93" s="15">
        <f>SUMPRODUCT((1-($B$76:$B$79&gt;0)*(A93&gt;=$B$76:$B$79))*properties!$N$3:$N$6*(A93&lt;=properties!$O$3:$O$6))</f>
        <v/>
      </c>
      <c r="BS93" s="15">
        <f>MAX(0,BQ93-BR93)</f>
        <v/>
      </c>
      <c r="BT93" s="15">
        <f>SUMPRODUCT(($B$75:$B$79=A93)*$G$75:$G$79)</f>
        <v/>
      </c>
      <c r="BU93" s="15">
        <f>SUMPRODUCT(($B$75:$B$79=A93)*$H$75:$H$79)</f>
        <v/>
      </c>
      <c r="BV93" s="15">
        <f>SUMPRODUCT(($B$75:$B$79=A93)*$I$75:$I$79)</f>
        <v/>
      </c>
      <c r="BW93" s="15">
        <f>AL93*properties!$C$2*(1+properties!$D$2)^(A93-household!$B$4+1)</f>
        <v/>
      </c>
      <c r="BX93" s="15">
        <f>SUMPRODUCT((1-($B$76:$B$79&gt;0)*(A93&gt;=$B$76:$B$79))*properties!$C$3:$C$6*(1+properties!$D$3:$D$6)^(A93-household!$B$4+1))</f>
        <v/>
      </c>
      <c r="BY93" s="15">
        <f>IF(A93&gt;=$B$31,IF(A93&gt;=$B$32,MAX(household!$B$11*12*(1-$B$28)*O93*IF(A93&gt;=$B$30,1-$B$29,1)*$B$33,0.5*household!$B$12*12*(1-$B$28)*O93*IF(A93&gt;=$B$30,1-$B$29,1)*$B$35),household!$B$11*12*(1-$B$28)*O93*IF(A93&gt;=$B$30,1-$B$29,1)*$B$33),0)</f>
        <v/>
      </c>
      <c r="BZ93" s="15">
        <f>IF(A93&gt;=$B$32,IF(A93&gt;=$B$31,MAX(household!$B$12*12*(1-$B$28)*O93*IF(A93&gt;=$B$30,1-$B$29,1)*$B$34,0.5*household!$B$11*12*(1-$B$28)*O93*IF(A93&gt;=$B$30,1-$B$29,1)*$B$36),household!$B$12*12*(1-$B$28)*O93*IF(A93&gt;=$B$30,1-$B$29,1)*$B$34),0)</f>
        <v/>
      </c>
      <c r="CA93" s="15">
        <f>IF(AND($B$43&lt;&gt;0,A93&gt;=household!$B$6+$B$44),$B$43*(1+$B$18)^(MAX(household!$B$6+$B$44,household!$B$4-1)-household!$B$4+1)*(1+$B$47*$B$18)^(A93-MAX(household!$B$6+$B$44,household!$B$4-1)),0)</f>
        <v/>
      </c>
      <c r="CB93" s="15">
        <f>IF(AND($B$45&lt;&gt;0,A93&gt;=household!$B$9+$B$46),$B$45*(1+$B$18)^(MAX(household!$B$9+$B$46,household!$B$4-1)-household!$B$4+1)*(1+$B$47*$B$18)^(A93-MAX(household!$B$9+$B$46,household!$B$4-1)),0)</f>
        <v/>
      </c>
      <c r="CC93" s="15">
        <f>DC92</f>
        <v/>
      </c>
      <c r="CD93" s="15">
        <f>DD92</f>
        <v/>
      </c>
      <c r="CE93" s="15">
        <f>$B$20*CC93</f>
        <v/>
      </c>
      <c r="CF93" s="15">
        <f>DE92</f>
        <v/>
      </c>
      <c r="CG93" s="15">
        <f>DF92</f>
        <v/>
      </c>
      <c r="CH93" s="15">
        <f>IF(B93&gt;=$B$71,MAX(0,CF93)/INDEX(tax_tables!$Z$5:$Z$53,MATCH(B93,tax_tables!$Y$5:$Y$53,0)),0)</f>
        <v/>
      </c>
      <c r="CI93" s="15">
        <f>IF(C93&gt;=$B$72,MAX(0,CG93)/INDEX(tax_tables!$Z$5:$Z$53,MATCH(C93,tax_tables!$Y$5:$Y$53,0)),0)</f>
        <v/>
      </c>
      <c r="CJ93" s="15">
        <f>DG92</f>
        <v/>
      </c>
      <c r="CK93" s="15">
        <f>IF(OR($B$59="",$B$60=""),0,IF(AND(A93&gt;=$B$59,A93&lt;=$B$60),$B$58*O93,0))</f>
        <v/>
      </c>
      <c r="CL93" s="15">
        <f>MAX(0,CF93*(1+M93)-CH93)</f>
        <v/>
      </c>
      <c r="CM93" s="15">
        <f>MAX(0,CG93*(1+M93)-CI93)</f>
        <v/>
      </c>
      <c r="CN93" s="15">
        <f>EB92-AG92</f>
        <v/>
      </c>
      <c r="CO93" s="15">
        <f>AH93+F93+CA93+CB93+BQ93+CE93+CH93+CI93+BT93+AI93+AJ93+BO93</f>
        <v/>
      </c>
      <c r="CP93" s="15">
        <f>D93+CN93-CO93</f>
        <v/>
      </c>
      <c r="CQ93" s="15">
        <f>MAX(0,MIN(CP93,CC93*(1+M93-$B$20)))</f>
        <v/>
      </c>
      <c r="CR93" s="15">
        <f>MAX(0,MIN(CP93-CQ93,CL93+CM93))</f>
        <v/>
      </c>
      <c r="CS93" s="15">
        <f>IF(CL93+CM93&gt;1,CR93*CL93/(CL93+CM93),0)</f>
        <v/>
      </c>
      <c r="CT93" s="15">
        <f>CR93-CS93</f>
        <v/>
      </c>
      <c r="CU93" s="15">
        <f>MAX(0,MIN(CP93-CQ93-CR93,CJ93*(1+M93)))</f>
        <v/>
      </c>
      <c r="CV93" s="15">
        <f>MAX(0,MIN(CP93-CQ93-CR93-CU93,BN93*(1+M93)-BO93+AC93))</f>
        <v/>
      </c>
      <c r="CW93" s="15">
        <f>MAX(0,-CP93)</f>
        <v/>
      </c>
      <c r="CX93" s="15">
        <f>MIN(CK93,CL93-CS93+CM93-CT93)</f>
        <v/>
      </c>
      <c r="CY93" s="15">
        <f>IF(CL93-CS93+CM93-CT93&gt;1,CX93*(CL93-CS93)/(CL93-CS93+CM93-CT93),0)</f>
        <v/>
      </c>
      <c r="CZ93" s="15">
        <f>CX93-CY93</f>
        <v/>
      </c>
      <c r="DA93" s="22">
        <f>IF(CC93&gt;0,MAX(0,1-CD93/CC93),0)</f>
        <v/>
      </c>
      <c r="DB93" s="15">
        <f>CQ93*DA93</f>
        <v/>
      </c>
      <c r="DC93" s="15">
        <f>CC93*(1+M93-$B$20)-CQ93+CW93</f>
        <v/>
      </c>
      <c r="DD93" s="15">
        <f>CD93-(CQ93-DB93)+CW93</f>
        <v/>
      </c>
      <c r="DE93" s="15">
        <f>CF93*(1+M93)-CH93-CS93-CY93+Y93+AA93</f>
        <v/>
      </c>
      <c r="DF93" s="15">
        <f>CG93*(1+M93)-CI93-CT93-CZ93+Z93+AB93</f>
        <v/>
      </c>
      <c r="DG93" s="15">
        <f>CJ93*(1+M93)-CU93+CX93</f>
        <v/>
      </c>
      <c r="DH93" s="15">
        <f>AE93+CR93+CH93+CI93+CX93+CV93+BS93+AI93+CA93+CB93</f>
        <v/>
      </c>
      <c r="DI93" s="15">
        <f>CE93+DB93+BU93</f>
        <v/>
      </c>
      <c r="DJ93" s="15">
        <f>IF((DH93+DI93+0.5*F93)&lt;=tax_tables!$B$14,0,IF((DH93+DI93+0.5*F93)&lt;=tax_tables!$B$15,MIN(0.5*F93,0.5*((DH93+DI93+0.5*F93)-tax_tables!$B$14)),MIN(0.85*F93,0.85*((DH93+DI93+0.5*F93)-tax_tables!$B$15)+MIN(0.5*F93,tax_tables!$B$15-tax_tables!$B$14))))</f>
        <v/>
      </c>
      <c r="DK93" s="15">
        <f>DH93+DI93+DJ93</f>
        <v/>
      </c>
      <c r="DL93" s="12">
        <f>(B93&gt;=65)+(C93&gt;=65)</f>
        <v/>
      </c>
      <c r="DM93" s="15">
        <f>(tax_tables!$B$5+tax_tables!$B$6*DL93)*P93</f>
        <v/>
      </c>
      <c r="DN93" s="15">
        <f>IF(AND(A93&gt;=tax_tables!$B$8,A93&lt;=tax_tables!$B$9),DL93*MAX(0,tax_tables!$B$7-tax_tables!$B$11*MAX(0,DK93-tax_tables!$B$10)),0)</f>
        <v/>
      </c>
      <c r="DO93" s="15">
        <f>IFERROR(MAX(tax_tables!$B$16,INDEX(tax_tables!$W$5:$W$8,MATCH(A93,tax_tables!$V$5:$V$8,0))-tax_tables!$B$18*MAX(0,DK93-tax_tables!$B$17*1.01^(A93-tax_tables!$B$4))),tax_tables!$B$16)</f>
        <v/>
      </c>
      <c r="DP93" s="15">
        <f>MAX(0,BM93-BB93-tax_tables!$B$23*DK93)</f>
        <v/>
      </c>
      <c r="DQ93" s="15">
        <f>AN93+MIN(DO93,DY92+DZ92+EA92+AL93*properties!$H$2*O93)+DP93+$B$61*O93</f>
        <v/>
      </c>
      <c r="DR93" s="15">
        <f>MAX(DM93,DQ93)</f>
        <v/>
      </c>
      <c r="DS93" s="15">
        <f>MAX(0,DH93+DJ93-DR93-DN93)</f>
        <v/>
      </c>
      <c r="DT93" s="15">
        <f>MAX(0,DI93-MAX(0,DR93+DN93-DH93-DJ93))</f>
        <v/>
      </c>
      <c r="DU93" s="15">
        <f>SUMPRODUCT((DS93&gt;tax_tables!$E$5:$E$16*P93)*(DS93-tax_tables!$E$5:$E$16*P93)*tax_tables!$G$5:$G$16)+SUMPRODUCT(((DS93+DT93)&gt;tax_tables!$I$5:$I$16*P93)*((DS93+DT93)-tax_tables!$I$5:$I$16*P93)*tax_tables!$K$5:$K$16)-SUMPRODUCT((DS93&gt;tax_tables!$I$5:$I$16*P93)*(DS93-tax_tables!$I$5:$I$16*P93)*tax_tables!$K$5:$K$16)+tax_tables!$B$19*BV93+tax_tables!$B$12*MIN(CE93+DB93+BS93+BU93,MAX(0,DK93-tax_tables!$B$13))</f>
        <v/>
      </c>
      <c r="DV93" s="12">
        <f>IF($B$39="",0,IF(A93&gt;=$B$39,1,0))</f>
        <v/>
      </c>
      <c r="DW93" s="15">
        <f>IF(B93+0.5&gt;=tax_tables!$B$30,MIN(CS93+CH93+CY93+CA93,tax_tables!$B$29),0)+IF(C93+0.5&gt;=tax_tables!$B$30,MIN(CT93+CI93+CZ93+CB93,tax_tables!$B$29),0)</f>
        <v/>
      </c>
      <c r="DX93" s="15">
        <f>MAX(0,DK93-tax_tables!$B$28*DJ93-DW93-tax_tables!$B$26*IF(tax_tables!$B$27=1,P93,1))</f>
        <v/>
      </c>
      <c r="DY93" s="15">
        <f>(1-DV93)*SUMPRODUCT((DX93&gt;tax_tables!$M$5:$M$16*IF(tax_tables!$B$27=1,P93,1))*(DX93-tax_tables!$M$5:$M$16*IF(tax_tables!$B$27=1,P93,1))*tax_tables!$O$5:$O$16)</f>
        <v/>
      </c>
      <c r="DZ93" s="15">
        <f>(1-DV93)*tax_tables!$B$31*DX93</f>
        <v/>
      </c>
      <c r="EA93" s="15">
        <f>DV93*$B$40*MAX(0,DK93-DJ93)</f>
        <v/>
      </c>
      <c r="EB93" s="15">
        <f>DU93+DY93+DZ93+EA93</f>
        <v/>
      </c>
      <c r="EC93" s="15">
        <f>DC93+DE93+DF93+DG93+BP93</f>
        <v/>
      </c>
      <c r="ED93" s="15">
        <f>EC93+BW93-AP93+BX93</f>
        <v/>
      </c>
    </row>
    <row r="94">
      <c r="A94" s="12">
        <f>A93+1</f>
        <v/>
      </c>
      <c r="B94" s="12">
        <f>A94-household!$B$6</f>
        <v/>
      </c>
      <c r="C94" s="12">
        <f>A94-household!$B$9</f>
        <v/>
      </c>
      <c r="D94" s="15">
        <f>AS94+AT94+AU94+AV94+AZ94+BM94+AK94</f>
        <v/>
      </c>
      <c r="E94" s="15">
        <f>CN94+AG94+AF94</f>
        <v/>
      </c>
      <c r="F94" s="15">
        <f>BY94+BZ94</f>
        <v/>
      </c>
      <c r="G94" s="15">
        <f>CQ94+CR94+CU94+CH94+CI94+CE94-CW94+CV94+BO94</f>
        <v/>
      </c>
      <c r="H94" s="22">
        <f>IF(CC94+CF94+CG94+CJ94+BN94&lt;=0,"",G94/(CC94+CF94+CG94+CJ94+BN94))</f>
        <v/>
      </c>
      <c r="I94" s="23">
        <f>EC94/O94</f>
        <v/>
      </c>
      <c r="J94" s="23">
        <f>ED94/O94</f>
        <v/>
      </c>
      <c r="K94" s="15">
        <f>MAX(0,CP94-CQ94-CR94-CU94-CV94)</f>
        <v/>
      </c>
      <c r="L94" s="11" t="n"/>
      <c r="M94" s="22">
        <f>IF(L94="",$B$19,L94)</f>
        <v/>
      </c>
      <c r="N94" s="14" t="n"/>
      <c r="O94" s="13">
        <f>(1+$B$18)^(A94-household!$B$4+1)</f>
        <v/>
      </c>
      <c r="P94" s="13">
        <f>(1+$B$18)^(A94-tax_tables!$B$4)</f>
        <v/>
      </c>
      <c r="Q94" s="13">
        <f>(1+$B$21)^(A94-household!$B$4+1)</f>
        <v/>
      </c>
      <c r="R94" s="13">
        <f>(1+$B$22)^(A94-household!$B$4+1)</f>
        <v/>
      </c>
      <c r="S94" s="13">
        <f>(1+$B$23)^(A94-household!$B$4+1)</f>
        <v/>
      </c>
      <c r="T94" s="12">
        <f>IF(A94&lt;$B$5,1,0)</f>
        <v/>
      </c>
      <c r="U94" s="12">
        <f>IF(A94&lt;$B$6,1,0)</f>
        <v/>
      </c>
      <c r="V94" s="12">
        <f>IF(T94+U94&gt;0,1,0)</f>
        <v/>
      </c>
      <c r="W94" s="15">
        <f>T94*$B$7*O94+SUMPRODUCT(($B$83:$B$88=A94)*($D$83:$D$88="Wages: person 1")*$C$83:$C$88)*O94</f>
        <v/>
      </c>
      <c r="X94" s="15">
        <f>U94*$B$8*O94+SUMPRODUCT(($B$83:$B$88=A94)*($D$83:$D$88="Wages: person 2")*$C$83:$C$88)*O94</f>
        <v/>
      </c>
      <c r="Y94" s="15">
        <f>T94*$B$9*O94</f>
        <v/>
      </c>
      <c r="Z94" s="15">
        <f>U94*$B$10*O94</f>
        <v/>
      </c>
      <c r="AA94" s="15">
        <f>T94*$B$11*O94</f>
        <v/>
      </c>
      <c r="AB94" s="15">
        <f>U94*$B$12*O94</f>
        <v/>
      </c>
      <c r="AC94" s="15">
        <f>V94*$B$13*O94</f>
        <v/>
      </c>
      <c r="AD94" s="15">
        <f>W94+X94</f>
        <v/>
      </c>
      <c r="AE94" s="15">
        <f>AD94-Y94-Z94-AC94</f>
        <v/>
      </c>
      <c r="AF94" s="15">
        <f>0.062*MIN(W94,tax_tables!$B$21*P94)+0.062*MIN(X94,tax_tables!$B$21*P94)+0.0145*AD94+0.009*MAX(0,AD94-tax_tables!$B$22)</f>
        <v/>
      </c>
      <c r="AG94" s="15">
        <f>$B$14*AE94</f>
        <v/>
      </c>
      <c r="AH94" s="15">
        <f>AD94-Y94-Z94-AC94-AF94-AG94</f>
        <v/>
      </c>
      <c r="AI94" s="15">
        <f>SUMPRODUCT(($B$83:$B$88=A94)*($D$83:$D$88="Other taxable income")*$C$83:$C$88)*O94</f>
        <v/>
      </c>
      <c r="AJ94" s="15">
        <f>SUMPRODUCT(($B$83:$B$88=A94)*($D$83:$D$88="Tax-free money in")*$C$83:$C$88)*O94</f>
        <v/>
      </c>
      <c r="AK94" s="15">
        <f>SUMPRODUCT(($B$83:$B$88=A94)*($D$83:$D$88="Expense")*$C$83:$C$88)*O94</f>
        <v/>
      </c>
      <c r="AL94" s="12">
        <f>IF(OR($B$75="",A94&lt;$B$75),1,0)</f>
        <v/>
      </c>
      <c r="AM94" s="15">
        <f>AP93</f>
        <v/>
      </c>
      <c r="AN94" s="15">
        <f>AL94*AM94*properties!$J$2</f>
        <v/>
      </c>
      <c r="AO94" s="15">
        <f>AL94*MIN(properties!$K$2,AM94+AN94)</f>
        <v/>
      </c>
      <c r="AP94" s="15">
        <f>AL94*(AM94+AN94-AO94)</f>
        <v/>
      </c>
      <c r="AQ94" s="15">
        <f>AL94*properties!$G$2*O94</f>
        <v/>
      </c>
      <c r="AR94" s="15">
        <f>(1-AL94)*$E$75*O94</f>
        <v/>
      </c>
      <c r="AS94" s="15">
        <f>AO94+AQ94+AR94</f>
        <v/>
      </c>
      <c r="AT94" s="15">
        <f>SUMIF(budget!$A$2:$A$300,"household",budget!$F$2:$F$300)*O94*IF(N94="",1,N94)</f>
        <v/>
      </c>
      <c r="AU94" s="15">
        <f>SUMPRODUCT((other_budget!$C$2:$C$30&lt;=A94)*(other_budget!$D$2:$D$30&gt;=A94)*other_budget!$B$2:$B$30)*O94</f>
        <v/>
      </c>
      <c r="AV94" s="15">
        <f>SUMPRODUCT((kids_budget!$D$2:$D$40&lt;=A94)*(kids_budget!$E$2:$E$40&gt;=A94)*(kids_budget!$G$2:$G$40&lt;&gt;"college_funds")*kids_budget!$C$2:$C$40*((kids_budget!$F$2:$F$40="college")*R94+(kids_budget!$F$2:$F$40&lt;&gt;"college")*O94))</f>
        <v/>
      </c>
      <c r="AW94" s="15">
        <f>SUMPRODUCT((kids_budget!$D$2:$D$40&lt;=A94)*(kids_budget!$E$2:$E$40&gt;=A94)*(kids_budget!$G$2:$G$40="college_funds")*kids_budget!$C$2:$C$40*((kids_budget!$F$2:$F$40="college")*R94+(kids_budget!$F$2:$F$40&lt;&gt;"college")*O94))</f>
        <v/>
      </c>
      <c r="AX94" s="15">
        <f>BA93</f>
        <v/>
      </c>
      <c r="AY94" s="15">
        <f>MIN(AW94,AX94*(1+M94))</f>
        <v/>
      </c>
      <c r="AZ94" s="15">
        <f>AW94-AY94</f>
        <v/>
      </c>
      <c r="BA94" s="15">
        <f>AX94*(1+M94)-AY94</f>
        <v/>
      </c>
      <c r="BB94" s="15">
        <f>V94*healthcare!$B$5*Q94</f>
        <v/>
      </c>
      <c r="BC94" s="12">
        <f>(1-V94)*((B94&lt;65)+(C94&lt;65))</f>
        <v/>
      </c>
      <c r="BD94" s="12">
        <f>COUNTIF(household!$C$16:$C$23,"&gt;="&amp;A94)</f>
        <v/>
      </c>
      <c r="BE94" s="15">
        <f>(BC94*healthcare!$B$2+IF(BC94&gt;0,BD94,0)*healthcare!$B$3)*12*Q94</f>
        <v/>
      </c>
      <c r="BF94" s="15">
        <f>IF(BC94&gt;0,(BC94+BD94)*healthcare!$B$4*Q94,0)</f>
        <v/>
      </c>
      <c r="BG94" s="12">
        <f>(B94&gt;=65)+(C94&gt;=65)</f>
        <v/>
      </c>
      <c r="BH94" s="15">
        <f>BG94*(healthcare!$B$6+healthcare!$B$7+healthcare!$B$8)*12*Q94</f>
        <v/>
      </c>
      <c r="BI94" s="15">
        <f>BG94*healthcare!$B$9*Q94</f>
        <v/>
      </c>
      <c r="BJ94" s="15">
        <f>BG94*12*O94*SUMPRODUCT((DK92&gt;tax_tables!$Q$5:$Q$9*P94)*tax_tables!$T$5:$T$9)</f>
        <v/>
      </c>
      <c r="BK94" s="12">
        <f>AND(B94&gt;=$B$51,B94&lt;$B$51+$B$52)*1+AND(C94&gt;=$B$53,C94&lt;$B$53+$B$54)*1</f>
        <v/>
      </c>
      <c r="BL94" s="15">
        <f>BK94*$B$55*S94</f>
        <v/>
      </c>
      <c r="BM94" s="15">
        <f>BB94+BE94+BF94+BH94+BI94+BJ94+BL94</f>
        <v/>
      </c>
      <c r="BN94" s="15">
        <f>BP93</f>
        <v/>
      </c>
      <c r="BO94" s="15">
        <f>IF(V94=1,0,MIN(BN94*(1+M94),BF94+BG94*(healthcare!$B$6+healthcare!$B$7)*12*Q94+BI94+BJ94+BL94))</f>
        <v/>
      </c>
      <c r="BP94" s="15">
        <f>BN94*(1+M94)-BO94+AC94-CV94</f>
        <v/>
      </c>
      <c r="BQ94" s="15">
        <f>SUMPRODUCT((1-($B$76:$B$79&gt;0)*(A94&gt;=$B$76:$B$79))*(1-(($C$76:$C$79&gt;0)*(A94&gt;=$C$76:$C$79)))*(properties!$L$3:$L$6-properties!$M$3:$M$6))*O94+SUMPRODUCT((1-($B$76:$B$79&gt;0)*(A94&gt;=$B$76:$B$79))*(($C$76:$C$79&gt;0)*(A94&gt;=$C$76:$C$79))*($D$76:$D$79-$E$76:$E$79))*O94</f>
        <v/>
      </c>
      <c r="BR94" s="15">
        <f>SUMPRODUCT((1-($B$76:$B$79&gt;0)*(A94&gt;=$B$76:$B$79))*properties!$N$3:$N$6*(A94&lt;=properties!$O$3:$O$6))</f>
        <v/>
      </c>
      <c r="BS94" s="15">
        <f>MAX(0,BQ94-BR94)</f>
        <v/>
      </c>
      <c r="BT94" s="15">
        <f>SUMPRODUCT(($B$75:$B$79=A94)*$G$75:$G$79)</f>
        <v/>
      </c>
      <c r="BU94" s="15">
        <f>SUMPRODUCT(($B$75:$B$79=A94)*$H$75:$H$79)</f>
        <v/>
      </c>
      <c r="BV94" s="15">
        <f>SUMPRODUCT(($B$75:$B$79=A94)*$I$75:$I$79)</f>
        <v/>
      </c>
      <c r="BW94" s="15">
        <f>AL94*properties!$C$2*(1+properties!$D$2)^(A94-household!$B$4+1)</f>
        <v/>
      </c>
      <c r="BX94" s="15">
        <f>SUMPRODUCT((1-($B$76:$B$79&gt;0)*(A94&gt;=$B$76:$B$79))*properties!$C$3:$C$6*(1+properties!$D$3:$D$6)^(A94-household!$B$4+1))</f>
        <v/>
      </c>
      <c r="BY94" s="15">
        <f>IF(A94&gt;=$B$31,IF(A94&gt;=$B$32,MAX(household!$B$11*12*(1-$B$28)*O94*IF(A94&gt;=$B$30,1-$B$29,1)*$B$33,0.5*household!$B$12*12*(1-$B$28)*O94*IF(A94&gt;=$B$30,1-$B$29,1)*$B$35),household!$B$11*12*(1-$B$28)*O94*IF(A94&gt;=$B$30,1-$B$29,1)*$B$33),0)</f>
        <v/>
      </c>
      <c r="BZ94" s="15">
        <f>IF(A94&gt;=$B$32,IF(A94&gt;=$B$31,MAX(household!$B$12*12*(1-$B$28)*O94*IF(A94&gt;=$B$30,1-$B$29,1)*$B$34,0.5*household!$B$11*12*(1-$B$28)*O94*IF(A94&gt;=$B$30,1-$B$29,1)*$B$36),household!$B$12*12*(1-$B$28)*O94*IF(A94&gt;=$B$30,1-$B$29,1)*$B$34),0)</f>
        <v/>
      </c>
      <c r="CA94" s="15">
        <f>IF(AND($B$43&lt;&gt;0,A94&gt;=household!$B$6+$B$44),$B$43*(1+$B$18)^(MAX(household!$B$6+$B$44,household!$B$4-1)-household!$B$4+1)*(1+$B$47*$B$18)^(A94-MAX(household!$B$6+$B$44,household!$B$4-1)),0)</f>
        <v/>
      </c>
      <c r="CB94" s="15">
        <f>IF(AND($B$45&lt;&gt;0,A94&gt;=household!$B$9+$B$46),$B$45*(1+$B$18)^(MAX(household!$B$9+$B$46,household!$B$4-1)-household!$B$4+1)*(1+$B$47*$B$18)^(A94-MAX(household!$B$9+$B$46,household!$B$4-1)),0)</f>
        <v/>
      </c>
      <c r="CC94" s="15">
        <f>DC93</f>
        <v/>
      </c>
      <c r="CD94" s="15">
        <f>DD93</f>
        <v/>
      </c>
      <c r="CE94" s="15">
        <f>$B$20*CC94</f>
        <v/>
      </c>
      <c r="CF94" s="15">
        <f>DE93</f>
        <v/>
      </c>
      <c r="CG94" s="15">
        <f>DF93</f>
        <v/>
      </c>
      <c r="CH94" s="15">
        <f>IF(B94&gt;=$B$71,MAX(0,CF94)/INDEX(tax_tables!$Z$5:$Z$53,MATCH(B94,tax_tables!$Y$5:$Y$53,0)),0)</f>
        <v/>
      </c>
      <c r="CI94" s="15">
        <f>IF(C94&gt;=$B$72,MAX(0,CG94)/INDEX(tax_tables!$Z$5:$Z$53,MATCH(C94,tax_tables!$Y$5:$Y$53,0)),0)</f>
        <v/>
      </c>
      <c r="CJ94" s="15">
        <f>DG93</f>
        <v/>
      </c>
      <c r="CK94" s="15">
        <f>IF(OR($B$59="",$B$60=""),0,IF(AND(A94&gt;=$B$59,A94&lt;=$B$60),$B$58*O94,0))</f>
        <v/>
      </c>
      <c r="CL94" s="15">
        <f>MAX(0,CF94*(1+M94)-CH94)</f>
        <v/>
      </c>
      <c r="CM94" s="15">
        <f>MAX(0,CG94*(1+M94)-CI94)</f>
        <v/>
      </c>
      <c r="CN94" s="15">
        <f>EB93-AG93</f>
        <v/>
      </c>
      <c r="CO94" s="15">
        <f>AH94+F94+CA94+CB94+BQ94+CE94+CH94+CI94+BT94+AI94+AJ94+BO94</f>
        <v/>
      </c>
      <c r="CP94" s="15">
        <f>D94+CN94-CO94</f>
        <v/>
      </c>
      <c r="CQ94" s="15">
        <f>MAX(0,MIN(CP94,CC94*(1+M94-$B$20)))</f>
        <v/>
      </c>
      <c r="CR94" s="15">
        <f>MAX(0,MIN(CP94-CQ94,CL94+CM94))</f>
        <v/>
      </c>
      <c r="CS94" s="15">
        <f>IF(CL94+CM94&gt;1,CR94*CL94/(CL94+CM94),0)</f>
        <v/>
      </c>
      <c r="CT94" s="15">
        <f>CR94-CS94</f>
        <v/>
      </c>
      <c r="CU94" s="15">
        <f>MAX(0,MIN(CP94-CQ94-CR94,CJ94*(1+M94)))</f>
        <v/>
      </c>
      <c r="CV94" s="15">
        <f>MAX(0,MIN(CP94-CQ94-CR94-CU94,BN94*(1+M94)-BO94+AC94))</f>
        <v/>
      </c>
      <c r="CW94" s="15">
        <f>MAX(0,-CP94)</f>
        <v/>
      </c>
      <c r="CX94" s="15">
        <f>MIN(CK94,CL94-CS94+CM94-CT94)</f>
        <v/>
      </c>
      <c r="CY94" s="15">
        <f>IF(CL94-CS94+CM94-CT94&gt;1,CX94*(CL94-CS94)/(CL94-CS94+CM94-CT94),0)</f>
        <v/>
      </c>
      <c r="CZ94" s="15">
        <f>CX94-CY94</f>
        <v/>
      </c>
      <c r="DA94" s="22">
        <f>IF(CC94&gt;0,MAX(0,1-CD94/CC94),0)</f>
        <v/>
      </c>
      <c r="DB94" s="15">
        <f>CQ94*DA94</f>
        <v/>
      </c>
      <c r="DC94" s="15">
        <f>CC94*(1+M94-$B$20)-CQ94+CW94</f>
        <v/>
      </c>
      <c r="DD94" s="15">
        <f>CD94-(CQ94-DB94)+CW94</f>
        <v/>
      </c>
      <c r="DE94" s="15">
        <f>CF94*(1+M94)-CH94-CS94-CY94+Y94+AA94</f>
        <v/>
      </c>
      <c r="DF94" s="15">
        <f>CG94*(1+M94)-CI94-CT94-CZ94+Z94+AB94</f>
        <v/>
      </c>
      <c r="DG94" s="15">
        <f>CJ94*(1+M94)-CU94+CX94</f>
        <v/>
      </c>
      <c r="DH94" s="15">
        <f>AE94+CR94+CH94+CI94+CX94+CV94+BS94+AI94+CA94+CB94</f>
        <v/>
      </c>
      <c r="DI94" s="15">
        <f>CE94+DB94+BU94</f>
        <v/>
      </c>
      <c r="DJ94" s="15">
        <f>IF((DH94+DI94+0.5*F94)&lt;=tax_tables!$B$14,0,IF((DH94+DI94+0.5*F94)&lt;=tax_tables!$B$15,MIN(0.5*F94,0.5*((DH94+DI94+0.5*F94)-tax_tables!$B$14)),MIN(0.85*F94,0.85*((DH94+DI94+0.5*F94)-tax_tables!$B$15)+MIN(0.5*F94,tax_tables!$B$15-tax_tables!$B$14))))</f>
        <v/>
      </c>
      <c r="DK94" s="15">
        <f>DH94+DI94+DJ94</f>
        <v/>
      </c>
      <c r="DL94" s="12">
        <f>(B94&gt;=65)+(C94&gt;=65)</f>
        <v/>
      </c>
      <c r="DM94" s="15">
        <f>(tax_tables!$B$5+tax_tables!$B$6*DL94)*P94</f>
        <v/>
      </c>
      <c r="DN94" s="15">
        <f>IF(AND(A94&gt;=tax_tables!$B$8,A94&lt;=tax_tables!$B$9),DL94*MAX(0,tax_tables!$B$7-tax_tables!$B$11*MAX(0,DK94-tax_tables!$B$10)),0)</f>
        <v/>
      </c>
      <c r="DO94" s="15">
        <f>IFERROR(MAX(tax_tables!$B$16,INDEX(tax_tables!$W$5:$W$8,MATCH(A94,tax_tables!$V$5:$V$8,0))-tax_tables!$B$18*MAX(0,DK94-tax_tables!$B$17*1.01^(A94-tax_tables!$B$4))),tax_tables!$B$16)</f>
        <v/>
      </c>
      <c r="DP94" s="15">
        <f>MAX(0,BM94-BB94-tax_tables!$B$23*DK94)</f>
        <v/>
      </c>
      <c r="DQ94" s="15">
        <f>AN94+MIN(DO94,DY93+DZ93+EA93+AL94*properties!$H$2*O94)+DP94+$B$61*O94</f>
        <v/>
      </c>
      <c r="DR94" s="15">
        <f>MAX(DM94,DQ94)</f>
        <v/>
      </c>
      <c r="DS94" s="15">
        <f>MAX(0,DH94+DJ94-DR94-DN94)</f>
        <v/>
      </c>
      <c r="DT94" s="15">
        <f>MAX(0,DI94-MAX(0,DR94+DN94-DH94-DJ94))</f>
        <v/>
      </c>
      <c r="DU94" s="15">
        <f>SUMPRODUCT((DS94&gt;tax_tables!$E$5:$E$16*P94)*(DS94-tax_tables!$E$5:$E$16*P94)*tax_tables!$G$5:$G$16)+SUMPRODUCT(((DS94+DT94)&gt;tax_tables!$I$5:$I$16*P94)*((DS94+DT94)-tax_tables!$I$5:$I$16*P94)*tax_tables!$K$5:$K$16)-SUMPRODUCT((DS94&gt;tax_tables!$I$5:$I$16*P94)*(DS94-tax_tables!$I$5:$I$16*P94)*tax_tables!$K$5:$K$16)+tax_tables!$B$19*BV94+tax_tables!$B$12*MIN(CE94+DB94+BS94+BU94,MAX(0,DK94-tax_tables!$B$13))</f>
        <v/>
      </c>
      <c r="DV94" s="12">
        <f>IF($B$39="",0,IF(A94&gt;=$B$39,1,0))</f>
        <v/>
      </c>
      <c r="DW94" s="15">
        <f>IF(B94+0.5&gt;=tax_tables!$B$30,MIN(CS94+CH94+CY94+CA94,tax_tables!$B$29),0)+IF(C94+0.5&gt;=tax_tables!$B$30,MIN(CT94+CI94+CZ94+CB94,tax_tables!$B$29),0)</f>
        <v/>
      </c>
      <c r="DX94" s="15">
        <f>MAX(0,DK94-tax_tables!$B$28*DJ94-DW94-tax_tables!$B$26*IF(tax_tables!$B$27=1,P94,1))</f>
        <v/>
      </c>
      <c r="DY94" s="15">
        <f>(1-DV94)*SUMPRODUCT((DX94&gt;tax_tables!$M$5:$M$16*IF(tax_tables!$B$27=1,P94,1))*(DX94-tax_tables!$M$5:$M$16*IF(tax_tables!$B$27=1,P94,1))*tax_tables!$O$5:$O$16)</f>
        <v/>
      </c>
      <c r="DZ94" s="15">
        <f>(1-DV94)*tax_tables!$B$31*DX94</f>
        <v/>
      </c>
      <c r="EA94" s="15">
        <f>DV94*$B$40*MAX(0,DK94-DJ94)</f>
        <v/>
      </c>
      <c r="EB94" s="15">
        <f>DU94+DY94+DZ94+EA94</f>
        <v/>
      </c>
      <c r="EC94" s="15">
        <f>DC94+DE94+DF94+DG94+BP94</f>
        <v/>
      </c>
      <c r="ED94" s="15">
        <f>EC94+BW94-AP94+BX94</f>
        <v/>
      </c>
    </row>
    <row r="95">
      <c r="A95" s="12">
        <f>A94+1</f>
        <v/>
      </c>
      <c r="B95" s="12">
        <f>A95-household!$B$6</f>
        <v/>
      </c>
      <c r="C95" s="12">
        <f>A95-household!$B$9</f>
        <v/>
      </c>
      <c r="D95" s="15">
        <f>AS95+AT95+AU95+AV95+AZ95+BM95+AK95</f>
        <v/>
      </c>
      <c r="E95" s="15">
        <f>CN95+AG95+AF95</f>
        <v/>
      </c>
      <c r="F95" s="15">
        <f>BY95+BZ95</f>
        <v/>
      </c>
      <c r="G95" s="15">
        <f>CQ95+CR95+CU95+CH95+CI95+CE95-CW95+CV95+BO95</f>
        <v/>
      </c>
      <c r="H95" s="22">
        <f>IF(CC95+CF95+CG95+CJ95+BN95&lt;=0,"",G95/(CC95+CF95+CG95+CJ95+BN95))</f>
        <v/>
      </c>
      <c r="I95" s="23">
        <f>EC95/O95</f>
        <v/>
      </c>
      <c r="J95" s="23">
        <f>ED95/O95</f>
        <v/>
      </c>
      <c r="K95" s="15">
        <f>MAX(0,CP95-CQ95-CR95-CU95-CV95)</f>
        <v/>
      </c>
      <c r="L95" s="11" t="n"/>
      <c r="M95" s="22">
        <f>IF(L95="",$B$19,L95)</f>
        <v/>
      </c>
      <c r="N95" s="14" t="n"/>
      <c r="O95" s="13">
        <f>(1+$B$18)^(A95-household!$B$4+1)</f>
        <v/>
      </c>
      <c r="P95" s="13">
        <f>(1+$B$18)^(A95-tax_tables!$B$4)</f>
        <v/>
      </c>
      <c r="Q95" s="13">
        <f>(1+$B$21)^(A95-household!$B$4+1)</f>
        <v/>
      </c>
      <c r="R95" s="13">
        <f>(1+$B$22)^(A95-household!$B$4+1)</f>
        <v/>
      </c>
      <c r="S95" s="13">
        <f>(1+$B$23)^(A95-household!$B$4+1)</f>
        <v/>
      </c>
      <c r="T95" s="12">
        <f>IF(A95&lt;$B$5,1,0)</f>
        <v/>
      </c>
      <c r="U95" s="12">
        <f>IF(A95&lt;$B$6,1,0)</f>
        <v/>
      </c>
      <c r="V95" s="12">
        <f>IF(T95+U95&gt;0,1,0)</f>
        <v/>
      </c>
      <c r="W95" s="15">
        <f>T95*$B$7*O95+SUMPRODUCT(($B$83:$B$88=A95)*($D$83:$D$88="Wages: person 1")*$C$83:$C$88)*O95</f>
        <v/>
      </c>
      <c r="X95" s="15">
        <f>U95*$B$8*O95+SUMPRODUCT(($B$83:$B$88=A95)*($D$83:$D$88="Wages: person 2")*$C$83:$C$88)*O95</f>
        <v/>
      </c>
      <c r="Y95" s="15">
        <f>T95*$B$9*O95</f>
        <v/>
      </c>
      <c r="Z95" s="15">
        <f>U95*$B$10*O95</f>
        <v/>
      </c>
      <c r="AA95" s="15">
        <f>T95*$B$11*O95</f>
        <v/>
      </c>
      <c r="AB95" s="15">
        <f>U95*$B$12*O95</f>
        <v/>
      </c>
      <c r="AC95" s="15">
        <f>V95*$B$13*O95</f>
        <v/>
      </c>
      <c r="AD95" s="15">
        <f>W95+X95</f>
        <v/>
      </c>
      <c r="AE95" s="15">
        <f>AD95-Y95-Z95-AC95</f>
        <v/>
      </c>
      <c r="AF95" s="15">
        <f>0.062*MIN(W95,tax_tables!$B$21*P95)+0.062*MIN(X95,tax_tables!$B$21*P95)+0.0145*AD95+0.009*MAX(0,AD95-tax_tables!$B$22)</f>
        <v/>
      </c>
      <c r="AG95" s="15">
        <f>$B$14*AE95</f>
        <v/>
      </c>
      <c r="AH95" s="15">
        <f>AD95-Y95-Z95-AC95-AF95-AG95</f>
        <v/>
      </c>
      <c r="AI95" s="15">
        <f>SUMPRODUCT(($B$83:$B$88=A95)*($D$83:$D$88="Other taxable income")*$C$83:$C$88)*O95</f>
        <v/>
      </c>
      <c r="AJ95" s="15">
        <f>SUMPRODUCT(($B$83:$B$88=A95)*($D$83:$D$88="Tax-free money in")*$C$83:$C$88)*O95</f>
        <v/>
      </c>
      <c r="AK95" s="15">
        <f>SUMPRODUCT(($B$83:$B$88=A95)*($D$83:$D$88="Expense")*$C$83:$C$88)*O95</f>
        <v/>
      </c>
      <c r="AL95" s="12">
        <f>IF(OR($B$75="",A95&lt;$B$75),1,0)</f>
        <v/>
      </c>
      <c r="AM95" s="15">
        <f>AP94</f>
        <v/>
      </c>
      <c r="AN95" s="15">
        <f>AL95*AM95*properties!$J$2</f>
        <v/>
      </c>
      <c r="AO95" s="15">
        <f>AL95*MIN(properties!$K$2,AM95+AN95)</f>
        <v/>
      </c>
      <c r="AP95" s="15">
        <f>AL95*(AM95+AN95-AO95)</f>
        <v/>
      </c>
      <c r="AQ95" s="15">
        <f>AL95*properties!$G$2*O95</f>
        <v/>
      </c>
      <c r="AR95" s="15">
        <f>(1-AL95)*$E$75*O95</f>
        <v/>
      </c>
      <c r="AS95" s="15">
        <f>AO95+AQ95+AR95</f>
        <v/>
      </c>
      <c r="AT95" s="15">
        <f>SUMIF(budget!$A$2:$A$300,"household",budget!$F$2:$F$300)*O95*IF(N95="",1,N95)</f>
        <v/>
      </c>
      <c r="AU95" s="15">
        <f>SUMPRODUCT((other_budget!$C$2:$C$30&lt;=A95)*(other_budget!$D$2:$D$30&gt;=A95)*other_budget!$B$2:$B$30)*O95</f>
        <v/>
      </c>
      <c r="AV95" s="15">
        <f>SUMPRODUCT((kids_budget!$D$2:$D$40&lt;=A95)*(kids_budget!$E$2:$E$40&gt;=A95)*(kids_budget!$G$2:$G$40&lt;&gt;"college_funds")*kids_budget!$C$2:$C$40*((kids_budget!$F$2:$F$40="college")*R95+(kids_budget!$F$2:$F$40&lt;&gt;"college")*O95))</f>
        <v/>
      </c>
      <c r="AW95" s="15">
        <f>SUMPRODUCT((kids_budget!$D$2:$D$40&lt;=A95)*(kids_budget!$E$2:$E$40&gt;=A95)*(kids_budget!$G$2:$G$40="college_funds")*kids_budget!$C$2:$C$40*((kids_budget!$F$2:$F$40="college")*R95+(kids_budget!$F$2:$F$40&lt;&gt;"college")*O95))</f>
        <v/>
      </c>
      <c r="AX95" s="15">
        <f>BA94</f>
        <v/>
      </c>
      <c r="AY95" s="15">
        <f>MIN(AW95,AX95*(1+M95))</f>
        <v/>
      </c>
      <c r="AZ95" s="15">
        <f>AW95-AY95</f>
        <v/>
      </c>
      <c r="BA95" s="15">
        <f>AX95*(1+M95)-AY95</f>
        <v/>
      </c>
      <c r="BB95" s="15">
        <f>V95*healthcare!$B$5*Q95</f>
        <v/>
      </c>
      <c r="BC95" s="12">
        <f>(1-V95)*((B95&lt;65)+(C95&lt;65))</f>
        <v/>
      </c>
      <c r="BD95" s="12">
        <f>COUNTIF(household!$C$16:$C$23,"&gt;="&amp;A95)</f>
        <v/>
      </c>
      <c r="BE95" s="15">
        <f>(BC95*healthcare!$B$2+IF(BC95&gt;0,BD95,0)*healthcare!$B$3)*12*Q95</f>
        <v/>
      </c>
      <c r="BF95" s="15">
        <f>IF(BC95&gt;0,(BC95+BD95)*healthcare!$B$4*Q95,0)</f>
        <v/>
      </c>
      <c r="BG95" s="12">
        <f>(B95&gt;=65)+(C95&gt;=65)</f>
        <v/>
      </c>
      <c r="BH95" s="15">
        <f>BG95*(healthcare!$B$6+healthcare!$B$7+healthcare!$B$8)*12*Q95</f>
        <v/>
      </c>
      <c r="BI95" s="15">
        <f>BG95*healthcare!$B$9*Q95</f>
        <v/>
      </c>
      <c r="BJ95" s="15">
        <f>BG95*12*O95*SUMPRODUCT((DK93&gt;tax_tables!$Q$5:$Q$9*P95)*tax_tables!$T$5:$T$9)</f>
        <v/>
      </c>
      <c r="BK95" s="12">
        <f>AND(B95&gt;=$B$51,B95&lt;$B$51+$B$52)*1+AND(C95&gt;=$B$53,C95&lt;$B$53+$B$54)*1</f>
        <v/>
      </c>
      <c r="BL95" s="15">
        <f>BK95*$B$55*S95</f>
        <v/>
      </c>
      <c r="BM95" s="15">
        <f>BB95+BE95+BF95+BH95+BI95+BJ95+BL95</f>
        <v/>
      </c>
      <c r="BN95" s="15">
        <f>BP94</f>
        <v/>
      </c>
      <c r="BO95" s="15">
        <f>IF(V95=1,0,MIN(BN95*(1+M95),BF95+BG95*(healthcare!$B$6+healthcare!$B$7)*12*Q95+BI95+BJ95+BL95))</f>
        <v/>
      </c>
      <c r="BP95" s="15">
        <f>BN95*(1+M95)-BO95+AC95-CV95</f>
        <v/>
      </c>
      <c r="BQ95" s="15">
        <f>SUMPRODUCT((1-($B$76:$B$79&gt;0)*(A95&gt;=$B$76:$B$79))*(1-(($C$76:$C$79&gt;0)*(A95&gt;=$C$76:$C$79)))*(properties!$L$3:$L$6-properties!$M$3:$M$6))*O95+SUMPRODUCT((1-($B$76:$B$79&gt;0)*(A95&gt;=$B$76:$B$79))*(($C$76:$C$79&gt;0)*(A95&gt;=$C$76:$C$79))*($D$76:$D$79-$E$76:$E$79))*O95</f>
        <v/>
      </c>
      <c r="BR95" s="15">
        <f>SUMPRODUCT((1-($B$76:$B$79&gt;0)*(A95&gt;=$B$76:$B$79))*properties!$N$3:$N$6*(A95&lt;=properties!$O$3:$O$6))</f>
        <v/>
      </c>
      <c r="BS95" s="15">
        <f>MAX(0,BQ95-BR95)</f>
        <v/>
      </c>
      <c r="BT95" s="15">
        <f>SUMPRODUCT(($B$75:$B$79=A95)*$G$75:$G$79)</f>
        <v/>
      </c>
      <c r="BU95" s="15">
        <f>SUMPRODUCT(($B$75:$B$79=A95)*$H$75:$H$79)</f>
        <v/>
      </c>
      <c r="BV95" s="15">
        <f>SUMPRODUCT(($B$75:$B$79=A95)*$I$75:$I$79)</f>
        <v/>
      </c>
      <c r="BW95" s="15">
        <f>AL95*properties!$C$2*(1+properties!$D$2)^(A95-household!$B$4+1)</f>
        <v/>
      </c>
      <c r="BX95" s="15">
        <f>SUMPRODUCT((1-($B$76:$B$79&gt;0)*(A95&gt;=$B$76:$B$79))*properties!$C$3:$C$6*(1+properties!$D$3:$D$6)^(A95-household!$B$4+1))</f>
        <v/>
      </c>
      <c r="BY95" s="15">
        <f>IF(A95&gt;=$B$31,IF(A95&gt;=$B$32,MAX(household!$B$11*12*(1-$B$28)*O95*IF(A95&gt;=$B$30,1-$B$29,1)*$B$33,0.5*household!$B$12*12*(1-$B$28)*O95*IF(A95&gt;=$B$30,1-$B$29,1)*$B$35),household!$B$11*12*(1-$B$28)*O95*IF(A95&gt;=$B$30,1-$B$29,1)*$B$33),0)</f>
        <v/>
      </c>
      <c r="BZ95" s="15">
        <f>IF(A95&gt;=$B$32,IF(A95&gt;=$B$31,MAX(household!$B$12*12*(1-$B$28)*O95*IF(A95&gt;=$B$30,1-$B$29,1)*$B$34,0.5*household!$B$11*12*(1-$B$28)*O95*IF(A95&gt;=$B$30,1-$B$29,1)*$B$36),household!$B$12*12*(1-$B$28)*O95*IF(A95&gt;=$B$30,1-$B$29,1)*$B$34),0)</f>
        <v/>
      </c>
      <c r="CA95" s="15">
        <f>IF(AND($B$43&lt;&gt;0,A95&gt;=household!$B$6+$B$44),$B$43*(1+$B$18)^(MAX(household!$B$6+$B$44,household!$B$4-1)-household!$B$4+1)*(1+$B$47*$B$18)^(A95-MAX(household!$B$6+$B$44,household!$B$4-1)),0)</f>
        <v/>
      </c>
      <c r="CB95" s="15">
        <f>IF(AND($B$45&lt;&gt;0,A95&gt;=household!$B$9+$B$46),$B$45*(1+$B$18)^(MAX(household!$B$9+$B$46,household!$B$4-1)-household!$B$4+1)*(1+$B$47*$B$18)^(A95-MAX(household!$B$9+$B$46,household!$B$4-1)),0)</f>
        <v/>
      </c>
      <c r="CC95" s="15">
        <f>DC94</f>
        <v/>
      </c>
      <c r="CD95" s="15">
        <f>DD94</f>
        <v/>
      </c>
      <c r="CE95" s="15">
        <f>$B$20*CC95</f>
        <v/>
      </c>
      <c r="CF95" s="15">
        <f>DE94</f>
        <v/>
      </c>
      <c r="CG95" s="15">
        <f>DF94</f>
        <v/>
      </c>
      <c r="CH95" s="15">
        <f>IF(B95&gt;=$B$71,MAX(0,CF95)/INDEX(tax_tables!$Z$5:$Z$53,MATCH(B95,tax_tables!$Y$5:$Y$53,0)),0)</f>
        <v/>
      </c>
      <c r="CI95" s="15">
        <f>IF(C95&gt;=$B$72,MAX(0,CG95)/INDEX(tax_tables!$Z$5:$Z$53,MATCH(C95,tax_tables!$Y$5:$Y$53,0)),0)</f>
        <v/>
      </c>
      <c r="CJ95" s="15">
        <f>DG94</f>
        <v/>
      </c>
      <c r="CK95" s="15">
        <f>IF(OR($B$59="",$B$60=""),0,IF(AND(A95&gt;=$B$59,A95&lt;=$B$60),$B$58*O95,0))</f>
        <v/>
      </c>
      <c r="CL95" s="15">
        <f>MAX(0,CF95*(1+M95)-CH95)</f>
        <v/>
      </c>
      <c r="CM95" s="15">
        <f>MAX(0,CG95*(1+M95)-CI95)</f>
        <v/>
      </c>
      <c r="CN95" s="15">
        <f>EB94-AG94</f>
        <v/>
      </c>
      <c r="CO95" s="15">
        <f>AH95+F95+CA95+CB95+BQ95+CE95+CH95+CI95+BT95+AI95+AJ95+BO95</f>
        <v/>
      </c>
      <c r="CP95" s="15">
        <f>D95+CN95-CO95</f>
        <v/>
      </c>
      <c r="CQ95" s="15">
        <f>MAX(0,MIN(CP95,CC95*(1+M95-$B$20)))</f>
        <v/>
      </c>
      <c r="CR95" s="15">
        <f>MAX(0,MIN(CP95-CQ95,CL95+CM95))</f>
        <v/>
      </c>
      <c r="CS95" s="15">
        <f>IF(CL95+CM95&gt;1,CR95*CL95/(CL95+CM95),0)</f>
        <v/>
      </c>
      <c r="CT95" s="15">
        <f>CR95-CS95</f>
        <v/>
      </c>
      <c r="CU95" s="15">
        <f>MAX(0,MIN(CP95-CQ95-CR95,CJ95*(1+M95)))</f>
        <v/>
      </c>
      <c r="CV95" s="15">
        <f>MAX(0,MIN(CP95-CQ95-CR95-CU95,BN95*(1+M95)-BO95+AC95))</f>
        <v/>
      </c>
      <c r="CW95" s="15">
        <f>MAX(0,-CP95)</f>
        <v/>
      </c>
      <c r="CX95" s="15">
        <f>MIN(CK95,CL95-CS95+CM95-CT95)</f>
        <v/>
      </c>
      <c r="CY95" s="15">
        <f>IF(CL95-CS95+CM95-CT95&gt;1,CX95*(CL95-CS95)/(CL95-CS95+CM95-CT95),0)</f>
        <v/>
      </c>
      <c r="CZ95" s="15">
        <f>CX95-CY95</f>
        <v/>
      </c>
      <c r="DA95" s="22">
        <f>IF(CC95&gt;0,MAX(0,1-CD95/CC95),0)</f>
        <v/>
      </c>
      <c r="DB95" s="15">
        <f>CQ95*DA95</f>
        <v/>
      </c>
      <c r="DC95" s="15">
        <f>CC95*(1+M95-$B$20)-CQ95+CW95</f>
        <v/>
      </c>
      <c r="DD95" s="15">
        <f>CD95-(CQ95-DB95)+CW95</f>
        <v/>
      </c>
      <c r="DE95" s="15">
        <f>CF95*(1+M95)-CH95-CS95-CY95+Y95+AA95</f>
        <v/>
      </c>
      <c r="DF95" s="15">
        <f>CG95*(1+M95)-CI95-CT95-CZ95+Z95+AB95</f>
        <v/>
      </c>
      <c r="DG95" s="15">
        <f>CJ95*(1+M95)-CU95+CX95</f>
        <v/>
      </c>
      <c r="DH95" s="15">
        <f>AE95+CR95+CH95+CI95+CX95+CV95+BS95+AI95+CA95+CB95</f>
        <v/>
      </c>
      <c r="DI95" s="15">
        <f>CE95+DB95+BU95</f>
        <v/>
      </c>
      <c r="DJ95" s="15">
        <f>IF((DH95+DI95+0.5*F95)&lt;=tax_tables!$B$14,0,IF((DH95+DI95+0.5*F95)&lt;=tax_tables!$B$15,MIN(0.5*F95,0.5*((DH95+DI95+0.5*F95)-tax_tables!$B$14)),MIN(0.85*F95,0.85*((DH95+DI95+0.5*F95)-tax_tables!$B$15)+MIN(0.5*F95,tax_tables!$B$15-tax_tables!$B$14))))</f>
        <v/>
      </c>
      <c r="DK95" s="15">
        <f>DH95+DI95+DJ95</f>
        <v/>
      </c>
      <c r="DL95" s="12">
        <f>(B95&gt;=65)+(C95&gt;=65)</f>
        <v/>
      </c>
      <c r="DM95" s="15">
        <f>(tax_tables!$B$5+tax_tables!$B$6*DL95)*P95</f>
        <v/>
      </c>
      <c r="DN95" s="15">
        <f>IF(AND(A95&gt;=tax_tables!$B$8,A95&lt;=tax_tables!$B$9),DL95*MAX(0,tax_tables!$B$7-tax_tables!$B$11*MAX(0,DK95-tax_tables!$B$10)),0)</f>
        <v/>
      </c>
      <c r="DO95" s="15">
        <f>IFERROR(MAX(tax_tables!$B$16,INDEX(tax_tables!$W$5:$W$8,MATCH(A95,tax_tables!$V$5:$V$8,0))-tax_tables!$B$18*MAX(0,DK95-tax_tables!$B$17*1.01^(A95-tax_tables!$B$4))),tax_tables!$B$16)</f>
        <v/>
      </c>
      <c r="DP95" s="15">
        <f>MAX(0,BM95-BB95-tax_tables!$B$23*DK95)</f>
        <v/>
      </c>
      <c r="DQ95" s="15">
        <f>AN95+MIN(DO95,DY94+DZ94+EA94+AL95*properties!$H$2*O95)+DP95+$B$61*O95</f>
        <v/>
      </c>
      <c r="DR95" s="15">
        <f>MAX(DM95,DQ95)</f>
        <v/>
      </c>
      <c r="DS95" s="15">
        <f>MAX(0,DH95+DJ95-DR95-DN95)</f>
        <v/>
      </c>
      <c r="DT95" s="15">
        <f>MAX(0,DI95-MAX(0,DR95+DN95-DH95-DJ95))</f>
        <v/>
      </c>
      <c r="DU95" s="15">
        <f>SUMPRODUCT((DS95&gt;tax_tables!$E$5:$E$16*P95)*(DS95-tax_tables!$E$5:$E$16*P95)*tax_tables!$G$5:$G$16)+SUMPRODUCT(((DS95+DT95)&gt;tax_tables!$I$5:$I$16*P95)*((DS95+DT95)-tax_tables!$I$5:$I$16*P95)*tax_tables!$K$5:$K$16)-SUMPRODUCT((DS95&gt;tax_tables!$I$5:$I$16*P95)*(DS95-tax_tables!$I$5:$I$16*P95)*tax_tables!$K$5:$K$16)+tax_tables!$B$19*BV95+tax_tables!$B$12*MIN(CE95+DB95+BS95+BU95,MAX(0,DK95-tax_tables!$B$13))</f>
        <v/>
      </c>
      <c r="DV95" s="12">
        <f>IF($B$39="",0,IF(A95&gt;=$B$39,1,0))</f>
        <v/>
      </c>
      <c r="DW95" s="15">
        <f>IF(B95+0.5&gt;=tax_tables!$B$30,MIN(CS95+CH95+CY95+CA95,tax_tables!$B$29),0)+IF(C95+0.5&gt;=tax_tables!$B$30,MIN(CT95+CI95+CZ95+CB95,tax_tables!$B$29),0)</f>
        <v/>
      </c>
      <c r="DX95" s="15">
        <f>MAX(0,DK95-tax_tables!$B$28*DJ95-DW95-tax_tables!$B$26*IF(tax_tables!$B$27=1,P95,1))</f>
        <v/>
      </c>
      <c r="DY95" s="15">
        <f>(1-DV95)*SUMPRODUCT((DX95&gt;tax_tables!$M$5:$M$16*IF(tax_tables!$B$27=1,P95,1))*(DX95-tax_tables!$M$5:$M$16*IF(tax_tables!$B$27=1,P95,1))*tax_tables!$O$5:$O$16)</f>
        <v/>
      </c>
      <c r="DZ95" s="15">
        <f>(1-DV95)*tax_tables!$B$31*DX95</f>
        <v/>
      </c>
      <c r="EA95" s="15">
        <f>DV95*$B$40*MAX(0,DK95-DJ95)</f>
        <v/>
      </c>
      <c r="EB95" s="15">
        <f>DU95+DY95+DZ95+EA95</f>
        <v/>
      </c>
      <c r="EC95" s="15">
        <f>DC95+DE95+DF95+DG95+BP95</f>
        <v/>
      </c>
      <c r="ED95" s="15">
        <f>EC95+BW95-AP95+BX95</f>
        <v/>
      </c>
    </row>
    <row r="96">
      <c r="A96" s="12">
        <f>A95+1</f>
        <v/>
      </c>
      <c r="B96" s="12">
        <f>A96-household!$B$6</f>
        <v/>
      </c>
      <c r="C96" s="12">
        <f>A96-household!$B$9</f>
        <v/>
      </c>
      <c r="D96" s="15">
        <f>AS96+AT96+AU96+AV96+AZ96+BM96+AK96</f>
        <v/>
      </c>
      <c r="E96" s="15">
        <f>CN96+AG96+AF96</f>
        <v/>
      </c>
      <c r="F96" s="15">
        <f>BY96+BZ96</f>
        <v/>
      </c>
      <c r="G96" s="15">
        <f>CQ96+CR96+CU96+CH96+CI96+CE96-CW96+CV96+BO96</f>
        <v/>
      </c>
      <c r="H96" s="22">
        <f>IF(CC96+CF96+CG96+CJ96+BN96&lt;=0,"",G96/(CC96+CF96+CG96+CJ96+BN96))</f>
        <v/>
      </c>
      <c r="I96" s="23">
        <f>EC96/O96</f>
        <v/>
      </c>
      <c r="J96" s="23">
        <f>ED96/O96</f>
        <v/>
      </c>
      <c r="K96" s="15">
        <f>MAX(0,CP96-CQ96-CR96-CU96-CV96)</f>
        <v/>
      </c>
      <c r="L96" s="11" t="n"/>
      <c r="M96" s="22">
        <f>IF(L96="",$B$19,L96)</f>
        <v/>
      </c>
      <c r="N96" s="14" t="n"/>
      <c r="O96" s="13">
        <f>(1+$B$18)^(A96-household!$B$4+1)</f>
        <v/>
      </c>
      <c r="P96" s="13">
        <f>(1+$B$18)^(A96-tax_tables!$B$4)</f>
        <v/>
      </c>
      <c r="Q96" s="13">
        <f>(1+$B$21)^(A96-household!$B$4+1)</f>
        <v/>
      </c>
      <c r="R96" s="13">
        <f>(1+$B$22)^(A96-household!$B$4+1)</f>
        <v/>
      </c>
      <c r="S96" s="13">
        <f>(1+$B$23)^(A96-household!$B$4+1)</f>
        <v/>
      </c>
      <c r="T96" s="12">
        <f>IF(A96&lt;$B$5,1,0)</f>
        <v/>
      </c>
      <c r="U96" s="12">
        <f>IF(A96&lt;$B$6,1,0)</f>
        <v/>
      </c>
      <c r="V96" s="12">
        <f>IF(T96+U96&gt;0,1,0)</f>
        <v/>
      </c>
      <c r="W96" s="15">
        <f>T96*$B$7*O96+SUMPRODUCT(($B$83:$B$88=A96)*($D$83:$D$88="Wages: person 1")*$C$83:$C$88)*O96</f>
        <v/>
      </c>
      <c r="X96" s="15">
        <f>U96*$B$8*O96+SUMPRODUCT(($B$83:$B$88=A96)*($D$83:$D$88="Wages: person 2")*$C$83:$C$88)*O96</f>
        <v/>
      </c>
      <c r="Y96" s="15">
        <f>T96*$B$9*O96</f>
        <v/>
      </c>
      <c r="Z96" s="15">
        <f>U96*$B$10*O96</f>
        <v/>
      </c>
      <c r="AA96" s="15">
        <f>T96*$B$11*O96</f>
        <v/>
      </c>
      <c r="AB96" s="15">
        <f>U96*$B$12*O96</f>
        <v/>
      </c>
      <c r="AC96" s="15">
        <f>V96*$B$13*O96</f>
        <v/>
      </c>
      <c r="AD96" s="15">
        <f>W96+X96</f>
        <v/>
      </c>
      <c r="AE96" s="15">
        <f>AD96-Y96-Z96-AC96</f>
        <v/>
      </c>
      <c r="AF96" s="15">
        <f>0.062*MIN(W96,tax_tables!$B$21*P96)+0.062*MIN(X96,tax_tables!$B$21*P96)+0.0145*AD96+0.009*MAX(0,AD96-tax_tables!$B$22)</f>
        <v/>
      </c>
      <c r="AG96" s="15">
        <f>$B$14*AE96</f>
        <v/>
      </c>
      <c r="AH96" s="15">
        <f>AD96-Y96-Z96-AC96-AF96-AG96</f>
        <v/>
      </c>
      <c r="AI96" s="15">
        <f>SUMPRODUCT(($B$83:$B$88=A96)*($D$83:$D$88="Other taxable income")*$C$83:$C$88)*O96</f>
        <v/>
      </c>
      <c r="AJ96" s="15">
        <f>SUMPRODUCT(($B$83:$B$88=A96)*($D$83:$D$88="Tax-free money in")*$C$83:$C$88)*O96</f>
        <v/>
      </c>
      <c r="AK96" s="15">
        <f>SUMPRODUCT(($B$83:$B$88=A96)*($D$83:$D$88="Expense")*$C$83:$C$88)*O96</f>
        <v/>
      </c>
      <c r="AL96" s="12">
        <f>IF(OR($B$75="",A96&lt;$B$75),1,0)</f>
        <v/>
      </c>
      <c r="AM96" s="15">
        <f>AP95</f>
        <v/>
      </c>
      <c r="AN96" s="15">
        <f>AL96*AM96*properties!$J$2</f>
        <v/>
      </c>
      <c r="AO96" s="15">
        <f>AL96*MIN(properties!$K$2,AM96+AN96)</f>
        <v/>
      </c>
      <c r="AP96" s="15">
        <f>AL96*(AM96+AN96-AO96)</f>
        <v/>
      </c>
      <c r="AQ96" s="15">
        <f>AL96*properties!$G$2*O96</f>
        <v/>
      </c>
      <c r="AR96" s="15">
        <f>(1-AL96)*$E$75*O96</f>
        <v/>
      </c>
      <c r="AS96" s="15">
        <f>AO96+AQ96+AR96</f>
        <v/>
      </c>
      <c r="AT96" s="15">
        <f>SUMIF(budget!$A$2:$A$300,"household",budget!$F$2:$F$300)*O96*IF(N96="",1,N96)</f>
        <v/>
      </c>
      <c r="AU96" s="15">
        <f>SUMPRODUCT((other_budget!$C$2:$C$30&lt;=A96)*(other_budget!$D$2:$D$30&gt;=A96)*other_budget!$B$2:$B$30)*O96</f>
        <v/>
      </c>
      <c r="AV96" s="15">
        <f>SUMPRODUCT((kids_budget!$D$2:$D$40&lt;=A96)*(kids_budget!$E$2:$E$40&gt;=A96)*(kids_budget!$G$2:$G$40&lt;&gt;"college_funds")*kids_budget!$C$2:$C$40*((kids_budget!$F$2:$F$40="college")*R96+(kids_budget!$F$2:$F$40&lt;&gt;"college")*O96))</f>
        <v/>
      </c>
      <c r="AW96" s="15">
        <f>SUMPRODUCT((kids_budget!$D$2:$D$40&lt;=A96)*(kids_budget!$E$2:$E$40&gt;=A96)*(kids_budget!$G$2:$G$40="college_funds")*kids_budget!$C$2:$C$40*((kids_budget!$F$2:$F$40="college")*R96+(kids_budget!$F$2:$F$40&lt;&gt;"college")*O96))</f>
        <v/>
      </c>
      <c r="AX96" s="15">
        <f>BA95</f>
        <v/>
      </c>
      <c r="AY96" s="15">
        <f>MIN(AW96,AX96*(1+M96))</f>
        <v/>
      </c>
      <c r="AZ96" s="15">
        <f>AW96-AY96</f>
        <v/>
      </c>
      <c r="BA96" s="15">
        <f>AX96*(1+M96)-AY96</f>
        <v/>
      </c>
      <c r="BB96" s="15">
        <f>V96*healthcare!$B$5*Q96</f>
        <v/>
      </c>
      <c r="BC96" s="12">
        <f>(1-V96)*((B96&lt;65)+(C96&lt;65))</f>
        <v/>
      </c>
      <c r="BD96" s="12">
        <f>COUNTIF(household!$C$16:$C$23,"&gt;="&amp;A96)</f>
        <v/>
      </c>
      <c r="BE96" s="15">
        <f>(BC96*healthcare!$B$2+IF(BC96&gt;0,BD96,0)*healthcare!$B$3)*12*Q96</f>
        <v/>
      </c>
      <c r="BF96" s="15">
        <f>IF(BC96&gt;0,(BC96+BD96)*healthcare!$B$4*Q96,0)</f>
        <v/>
      </c>
      <c r="BG96" s="12">
        <f>(B96&gt;=65)+(C96&gt;=65)</f>
        <v/>
      </c>
      <c r="BH96" s="15">
        <f>BG96*(healthcare!$B$6+healthcare!$B$7+healthcare!$B$8)*12*Q96</f>
        <v/>
      </c>
      <c r="BI96" s="15">
        <f>BG96*healthcare!$B$9*Q96</f>
        <v/>
      </c>
      <c r="BJ96" s="15">
        <f>BG96*12*O96*SUMPRODUCT((DK94&gt;tax_tables!$Q$5:$Q$9*P96)*tax_tables!$T$5:$T$9)</f>
        <v/>
      </c>
      <c r="BK96" s="12">
        <f>AND(B96&gt;=$B$51,B96&lt;$B$51+$B$52)*1+AND(C96&gt;=$B$53,C96&lt;$B$53+$B$54)*1</f>
        <v/>
      </c>
      <c r="BL96" s="15">
        <f>BK96*$B$55*S96</f>
        <v/>
      </c>
      <c r="BM96" s="15">
        <f>BB96+BE96+BF96+BH96+BI96+BJ96+BL96</f>
        <v/>
      </c>
      <c r="BN96" s="15">
        <f>BP95</f>
        <v/>
      </c>
      <c r="BO96" s="15">
        <f>IF(V96=1,0,MIN(BN96*(1+M96),BF96+BG96*(healthcare!$B$6+healthcare!$B$7)*12*Q96+BI96+BJ96+BL96))</f>
        <v/>
      </c>
      <c r="BP96" s="15">
        <f>BN96*(1+M96)-BO96+AC96-CV96</f>
        <v/>
      </c>
      <c r="BQ96" s="15">
        <f>SUMPRODUCT((1-($B$76:$B$79&gt;0)*(A96&gt;=$B$76:$B$79))*(1-(($C$76:$C$79&gt;0)*(A96&gt;=$C$76:$C$79)))*(properties!$L$3:$L$6-properties!$M$3:$M$6))*O96+SUMPRODUCT((1-($B$76:$B$79&gt;0)*(A96&gt;=$B$76:$B$79))*(($C$76:$C$79&gt;0)*(A96&gt;=$C$76:$C$79))*($D$76:$D$79-$E$76:$E$79))*O96</f>
        <v/>
      </c>
      <c r="BR96" s="15">
        <f>SUMPRODUCT((1-($B$76:$B$79&gt;0)*(A96&gt;=$B$76:$B$79))*properties!$N$3:$N$6*(A96&lt;=properties!$O$3:$O$6))</f>
        <v/>
      </c>
      <c r="BS96" s="15">
        <f>MAX(0,BQ96-BR96)</f>
        <v/>
      </c>
      <c r="BT96" s="15">
        <f>SUMPRODUCT(($B$75:$B$79=A96)*$G$75:$G$79)</f>
        <v/>
      </c>
      <c r="BU96" s="15">
        <f>SUMPRODUCT(($B$75:$B$79=A96)*$H$75:$H$79)</f>
        <v/>
      </c>
      <c r="BV96" s="15">
        <f>SUMPRODUCT(($B$75:$B$79=A96)*$I$75:$I$79)</f>
        <v/>
      </c>
      <c r="BW96" s="15">
        <f>AL96*properties!$C$2*(1+properties!$D$2)^(A96-household!$B$4+1)</f>
        <v/>
      </c>
      <c r="BX96" s="15">
        <f>SUMPRODUCT((1-($B$76:$B$79&gt;0)*(A96&gt;=$B$76:$B$79))*properties!$C$3:$C$6*(1+properties!$D$3:$D$6)^(A96-household!$B$4+1))</f>
        <v/>
      </c>
      <c r="BY96" s="15">
        <f>IF(A96&gt;=$B$31,IF(A96&gt;=$B$32,MAX(household!$B$11*12*(1-$B$28)*O96*IF(A96&gt;=$B$30,1-$B$29,1)*$B$33,0.5*household!$B$12*12*(1-$B$28)*O96*IF(A96&gt;=$B$30,1-$B$29,1)*$B$35),household!$B$11*12*(1-$B$28)*O96*IF(A96&gt;=$B$30,1-$B$29,1)*$B$33),0)</f>
        <v/>
      </c>
      <c r="BZ96" s="15">
        <f>IF(A96&gt;=$B$32,IF(A96&gt;=$B$31,MAX(household!$B$12*12*(1-$B$28)*O96*IF(A96&gt;=$B$30,1-$B$29,1)*$B$34,0.5*household!$B$11*12*(1-$B$28)*O96*IF(A96&gt;=$B$30,1-$B$29,1)*$B$36),household!$B$12*12*(1-$B$28)*O96*IF(A96&gt;=$B$30,1-$B$29,1)*$B$34),0)</f>
        <v/>
      </c>
      <c r="CA96" s="15">
        <f>IF(AND($B$43&lt;&gt;0,A96&gt;=household!$B$6+$B$44),$B$43*(1+$B$18)^(MAX(household!$B$6+$B$44,household!$B$4-1)-household!$B$4+1)*(1+$B$47*$B$18)^(A96-MAX(household!$B$6+$B$44,household!$B$4-1)),0)</f>
        <v/>
      </c>
      <c r="CB96" s="15">
        <f>IF(AND($B$45&lt;&gt;0,A96&gt;=household!$B$9+$B$46),$B$45*(1+$B$18)^(MAX(household!$B$9+$B$46,household!$B$4-1)-household!$B$4+1)*(1+$B$47*$B$18)^(A96-MAX(household!$B$9+$B$46,household!$B$4-1)),0)</f>
        <v/>
      </c>
      <c r="CC96" s="15">
        <f>DC95</f>
        <v/>
      </c>
      <c r="CD96" s="15">
        <f>DD95</f>
        <v/>
      </c>
      <c r="CE96" s="15">
        <f>$B$20*CC96</f>
        <v/>
      </c>
      <c r="CF96" s="15">
        <f>DE95</f>
        <v/>
      </c>
      <c r="CG96" s="15">
        <f>DF95</f>
        <v/>
      </c>
      <c r="CH96" s="15">
        <f>IF(B96&gt;=$B$71,MAX(0,CF96)/INDEX(tax_tables!$Z$5:$Z$53,MATCH(B96,tax_tables!$Y$5:$Y$53,0)),0)</f>
        <v/>
      </c>
      <c r="CI96" s="15">
        <f>IF(C96&gt;=$B$72,MAX(0,CG96)/INDEX(tax_tables!$Z$5:$Z$53,MATCH(C96,tax_tables!$Y$5:$Y$53,0)),0)</f>
        <v/>
      </c>
      <c r="CJ96" s="15">
        <f>DG95</f>
        <v/>
      </c>
      <c r="CK96" s="15">
        <f>IF(OR($B$59="",$B$60=""),0,IF(AND(A96&gt;=$B$59,A96&lt;=$B$60),$B$58*O96,0))</f>
        <v/>
      </c>
      <c r="CL96" s="15">
        <f>MAX(0,CF96*(1+M96)-CH96)</f>
        <v/>
      </c>
      <c r="CM96" s="15">
        <f>MAX(0,CG96*(1+M96)-CI96)</f>
        <v/>
      </c>
      <c r="CN96" s="15">
        <f>EB95-AG95</f>
        <v/>
      </c>
      <c r="CO96" s="15">
        <f>AH96+F96+CA96+CB96+BQ96+CE96+CH96+CI96+BT96+AI96+AJ96+BO96</f>
        <v/>
      </c>
      <c r="CP96" s="15">
        <f>D96+CN96-CO96</f>
        <v/>
      </c>
      <c r="CQ96" s="15">
        <f>MAX(0,MIN(CP96,CC96*(1+M96-$B$20)))</f>
        <v/>
      </c>
      <c r="CR96" s="15">
        <f>MAX(0,MIN(CP96-CQ96,CL96+CM96))</f>
        <v/>
      </c>
      <c r="CS96" s="15">
        <f>IF(CL96+CM96&gt;1,CR96*CL96/(CL96+CM96),0)</f>
        <v/>
      </c>
      <c r="CT96" s="15">
        <f>CR96-CS96</f>
        <v/>
      </c>
      <c r="CU96" s="15">
        <f>MAX(0,MIN(CP96-CQ96-CR96,CJ96*(1+M96)))</f>
        <v/>
      </c>
      <c r="CV96" s="15">
        <f>MAX(0,MIN(CP96-CQ96-CR96-CU96,BN96*(1+M96)-BO96+AC96))</f>
        <v/>
      </c>
      <c r="CW96" s="15">
        <f>MAX(0,-CP96)</f>
        <v/>
      </c>
      <c r="CX96" s="15">
        <f>MIN(CK96,CL96-CS96+CM96-CT96)</f>
        <v/>
      </c>
      <c r="CY96" s="15">
        <f>IF(CL96-CS96+CM96-CT96&gt;1,CX96*(CL96-CS96)/(CL96-CS96+CM96-CT96),0)</f>
        <v/>
      </c>
      <c r="CZ96" s="15">
        <f>CX96-CY96</f>
        <v/>
      </c>
      <c r="DA96" s="22">
        <f>IF(CC96&gt;0,MAX(0,1-CD96/CC96),0)</f>
        <v/>
      </c>
      <c r="DB96" s="15">
        <f>CQ96*DA96</f>
        <v/>
      </c>
      <c r="DC96" s="15">
        <f>CC96*(1+M96-$B$20)-CQ96+CW96</f>
        <v/>
      </c>
      <c r="DD96" s="15">
        <f>CD96-(CQ96-DB96)+CW96</f>
        <v/>
      </c>
      <c r="DE96" s="15">
        <f>CF96*(1+M96)-CH96-CS96-CY96+Y96+AA96</f>
        <v/>
      </c>
      <c r="DF96" s="15">
        <f>CG96*(1+M96)-CI96-CT96-CZ96+Z96+AB96</f>
        <v/>
      </c>
      <c r="DG96" s="15">
        <f>CJ96*(1+M96)-CU96+CX96</f>
        <v/>
      </c>
      <c r="DH96" s="15">
        <f>AE96+CR96+CH96+CI96+CX96+CV96+BS96+AI96+CA96+CB96</f>
        <v/>
      </c>
      <c r="DI96" s="15">
        <f>CE96+DB96+BU96</f>
        <v/>
      </c>
      <c r="DJ96" s="15">
        <f>IF((DH96+DI96+0.5*F96)&lt;=tax_tables!$B$14,0,IF((DH96+DI96+0.5*F96)&lt;=tax_tables!$B$15,MIN(0.5*F96,0.5*((DH96+DI96+0.5*F96)-tax_tables!$B$14)),MIN(0.85*F96,0.85*((DH96+DI96+0.5*F96)-tax_tables!$B$15)+MIN(0.5*F96,tax_tables!$B$15-tax_tables!$B$14))))</f>
        <v/>
      </c>
      <c r="DK96" s="15">
        <f>DH96+DI96+DJ96</f>
        <v/>
      </c>
      <c r="DL96" s="12">
        <f>(B96&gt;=65)+(C96&gt;=65)</f>
        <v/>
      </c>
      <c r="DM96" s="15">
        <f>(tax_tables!$B$5+tax_tables!$B$6*DL96)*P96</f>
        <v/>
      </c>
      <c r="DN96" s="15">
        <f>IF(AND(A96&gt;=tax_tables!$B$8,A96&lt;=tax_tables!$B$9),DL96*MAX(0,tax_tables!$B$7-tax_tables!$B$11*MAX(0,DK96-tax_tables!$B$10)),0)</f>
        <v/>
      </c>
      <c r="DO96" s="15">
        <f>IFERROR(MAX(tax_tables!$B$16,INDEX(tax_tables!$W$5:$W$8,MATCH(A96,tax_tables!$V$5:$V$8,0))-tax_tables!$B$18*MAX(0,DK96-tax_tables!$B$17*1.01^(A96-tax_tables!$B$4))),tax_tables!$B$16)</f>
        <v/>
      </c>
      <c r="DP96" s="15">
        <f>MAX(0,BM96-BB96-tax_tables!$B$23*DK96)</f>
        <v/>
      </c>
      <c r="DQ96" s="15">
        <f>AN96+MIN(DO96,DY95+DZ95+EA95+AL96*properties!$H$2*O96)+DP96+$B$61*O96</f>
        <v/>
      </c>
      <c r="DR96" s="15">
        <f>MAX(DM96,DQ96)</f>
        <v/>
      </c>
      <c r="DS96" s="15">
        <f>MAX(0,DH96+DJ96-DR96-DN96)</f>
        <v/>
      </c>
      <c r="DT96" s="15">
        <f>MAX(0,DI96-MAX(0,DR96+DN96-DH96-DJ96))</f>
        <v/>
      </c>
      <c r="DU96" s="15">
        <f>SUMPRODUCT((DS96&gt;tax_tables!$E$5:$E$16*P96)*(DS96-tax_tables!$E$5:$E$16*P96)*tax_tables!$G$5:$G$16)+SUMPRODUCT(((DS96+DT96)&gt;tax_tables!$I$5:$I$16*P96)*((DS96+DT96)-tax_tables!$I$5:$I$16*P96)*tax_tables!$K$5:$K$16)-SUMPRODUCT((DS96&gt;tax_tables!$I$5:$I$16*P96)*(DS96-tax_tables!$I$5:$I$16*P96)*tax_tables!$K$5:$K$16)+tax_tables!$B$19*BV96+tax_tables!$B$12*MIN(CE96+DB96+BS96+BU96,MAX(0,DK96-tax_tables!$B$13))</f>
        <v/>
      </c>
      <c r="DV96" s="12">
        <f>IF($B$39="",0,IF(A96&gt;=$B$39,1,0))</f>
        <v/>
      </c>
      <c r="DW96" s="15">
        <f>IF(B96+0.5&gt;=tax_tables!$B$30,MIN(CS96+CH96+CY96+CA96,tax_tables!$B$29),0)+IF(C96+0.5&gt;=tax_tables!$B$30,MIN(CT96+CI96+CZ96+CB96,tax_tables!$B$29),0)</f>
        <v/>
      </c>
      <c r="DX96" s="15">
        <f>MAX(0,DK96-tax_tables!$B$28*DJ96-DW96-tax_tables!$B$26*IF(tax_tables!$B$27=1,P96,1))</f>
        <v/>
      </c>
      <c r="DY96" s="15">
        <f>(1-DV96)*SUMPRODUCT((DX96&gt;tax_tables!$M$5:$M$16*IF(tax_tables!$B$27=1,P96,1))*(DX96-tax_tables!$M$5:$M$16*IF(tax_tables!$B$27=1,P96,1))*tax_tables!$O$5:$O$16)</f>
        <v/>
      </c>
      <c r="DZ96" s="15">
        <f>(1-DV96)*tax_tables!$B$31*DX96</f>
        <v/>
      </c>
      <c r="EA96" s="15">
        <f>DV96*$B$40*MAX(0,DK96-DJ96)</f>
        <v/>
      </c>
      <c r="EB96" s="15">
        <f>DU96+DY96+DZ96+EA96</f>
        <v/>
      </c>
      <c r="EC96" s="15">
        <f>DC96+DE96+DF96+DG96+BP96</f>
        <v/>
      </c>
      <c r="ED96" s="15">
        <f>EC96+BW96-AP96+BX96</f>
        <v/>
      </c>
    </row>
    <row r="97">
      <c r="A97" s="12">
        <f>A96+1</f>
        <v/>
      </c>
      <c r="B97" s="12">
        <f>A97-household!$B$6</f>
        <v/>
      </c>
      <c r="C97" s="12">
        <f>A97-household!$B$9</f>
        <v/>
      </c>
      <c r="D97" s="15">
        <f>AS97+AT97+AU97+AV97+AZ97+BM97+AK97</f>
        <v/>
      </c>
      <c r="E97" s="15">
        <f>CN97+AG97+AF97</f>
        <v/>
      </c>
      <c r="F97" s="15">
        <f>BY97+BZ97</f>
        <v/>
      </c>
      <c r="G97" s="15">
        <f>CQ97+CR97+CU97+CH97+CI97+CE97-CW97+CV97+BO97</f>
        <v/>
      </c>
      <c r="H97" s="22">
        <f>IF(CC97+CF97+CG97+CJ97+BN97&lt;=0,"",G97/(CC97+CF97+CG97+CJ97+BN97))</f>
        <v/>
      </c>
      <c r="I97" s="23">
        <f>EC97/O97</f>
        <v/>
      </c>
      <c r="J97" s="23">
        <f>ED97/O97</f>
        <v/>
      </c>
      <c r="K97" s="15">
        <f>MAX(0,CP97-CQ97-CR97-CU97-CV97)</f>
        <v/>
      </c>
      <c r="L97" s="11" t="n"/>
      <c r="M97" s="22">
        <f>IF(L97="",$B$19,L97)</f>
        <v/>
      </c>
      <c r="N97" s="14" t="n"/>
      <c r="O97" s="13">
        <f>(1+$B$18)^(A97-household!$B$4+1)</f>
        <v/>
      </c>
      <c r="P97" s="13">
        <f>(1+$B$18)^(A97-tax_tables!$B$4)</f>
        <v/>
      </c>
      <c r="Q97" s="13">
        <f>(1+$B$21)^(A97-household!$B$4+1)</f>
        <v/>
      </c>
      <c r="R97" s="13">
        <f>(1+$B$22)^(A97-household!$B$4+1)</f>
        <v/>
      </c>
      <c r="S97" s="13">
        <f>(1+$B$23)^(A97-household!$B$4+1)</f>
        <v/>
      </c>
      <c r="T97" s="12">
        <f>IF(A97&lt;$B$5,1,0)</f>
        <v/>
      </c>
      <c r="U97" s="12">
        <f>IF(A97&lt;$B$6,1,0)</f>
        <v/>
      </c>
      <c r="V97" s="12">
        <f>IF(T97+U97&gt;0,1,0)</f>
        <v/>
      </c>
      <c r="W97" s="15">
        <f>T97*$B$7*O97+SUMPRODUCT(($B$83:$B$88=A97)*($D$83:$D$88="Wages: person 1")*$C$83:$C$88)*O97</f>
        <v/>
      </c>
      <c r="X97" s="15">
        <f>U97*$B$8*O97+SUMPRODUCT(($B$83:$B$88=A97)*($D$83:$D$88="Wages: person 2")*$C$83:$C$88)*O97</f>
        <v/>
      </c>
      <c r="Y97" s="15">
        <f>T97*$B$9*O97</f>
        <v/>
      </c>
      <c r="Z97" s="15">
        <f>U97*$B$10*O97</f>
        <v/>
      </c>
      <c r="AA97" s="15">
        <f>T97*$B$11*O97</f>
        <v/>
      </c>
      <c r="AB97" s="15">
        <f>U97*$B$12*O97</f>
        <v/>
      </c>
      <c r="AC97" s="15">
        <f>V97*$B$13*O97</f>
        <v/>
      </c>
      <c r="AD97" s="15">
        <f>W97+X97</f>
        <v/>
      </c>
      <c r="AE97" s="15">
        <f>AD97-Y97-Z97-AC97</f>
        <v/>
      </c>
      <c r="AF97" s="15">
        <f>0.062*MIN(W97,tax_tables!$B$21*P97)+0.062*MIN(X97,tax_tables!$B$21*P97)+0.0145*AD97+0.009*MAX(0,AD97-tax_tables!$B$22)</f>
        <v/>
      </c>
      <c r="AG97" s="15">
        <f>$B$14*AE97</f>
        <v/>
      </c>
      <c r="AH97" s="15">
        <f>AD97-Y97-Z97-AC97-AF97-AG97</f>
        <v/>
      </c>
      <c r="AI97" s="15">
        <f>SUMPRODUCT(($B$83:$B$88=A97)*($D$83:$D$88="Other taxable income")*$C$83:$C$88)*O97</f>
        <v/>
      </c>
      <c r="AJ97" s="15">
        <f>SUMPRODUCT(($B$83:$B$88=A97)*($D$83:$D$88="Tax-free money in")*$C$83:$C$88)*O97</f>
        <v/>
      </c>
      <c r="AK97" s="15">
        <f>SUMPRODUCT(($B$83:$B$88=A97)*($D$83:$D$88="Expense")*$C$83:$C$88)*O97</f>
        <v/>
      </c>
      <c r="AL97" s="12">
        <f>IF(OR($B$75="",A97&lt;$B$75),1,0)</f>
        <v/>
      </c>
      <c r="AM97" s="15">
        <f>AP96</f>
        <v/>
      </c>
      <c r="AN97" s="15">
        <f>AL97*AM97*properties!$J$2</f>
        <v/>
      </c>
      <c r="AO97" s="15">
        <f>AL97*MIN(properties!$K$2,AM97+AN97)</f>
        <v/>
      </c>
      <c r="AP97" s="15">
        <f>AL97*(AM97+AN97-AO97)</f>
        <v/>
      </c>
      <c r="AQ97" s="15">
        <f>AL97*properties!$G$2*O97</f>
        <v/>
      </c>
      <c r="AR97" s="15">
        <f>(1-AL97)*$E$75*O97</f>
        <v/>
      </c>
      <c r="AS97" s="15">
        <f>AO97+AQ97+AR97</f>
        <v/>
      </c>
      <c r="AT97" s="15">
        <f>SUMIF(budget!$A$2:$A$300,"household",budget!$F$2:$F$300)*O97*IF(N97="",1,N97)</f>
        <v/>
      </c>
      <c r="AU97" s="15">
        <f>SUMPRODUCT((other_budget!$C$2:$C$30&lt;=A97)*(other_budget!$D$2:$D$30&gt;=A97)*other_budget!$B$2:$B$30)*O97</f>
        <v/>
      </c>
      <c r="AV97" s="15">
        <f>SUMPRODUCT((kids_budget!$D$2:$D$40&lt;=A97)*(kids_budget!$E$2:$E$40&gt;=A97)*(kids_budget!$G$2:$G$40&lt;&gt;"college_funds")*kids_budget!$C$2:$C$40*((kids_budget!$F$2:$F$40="college")*R97+(kids_budget!$F$2:$F$40&lt;&gt;"college")*O97))</f>
        <v/>
      </c>
      <c r="AW97" s="15">
        <f>SUMPRODUCT((kids_budget!$D$2:$D$40&lt;=A97)*(kids_budget!$E$2:$E$40&gt;=A97)*(kids_budget!$G$2:$G$40="college_funds")*kids_budget!$C$2:$C$40*((kids_budget!$F$2:$F$40="college")*R97+(kids_budget!$F$2:$F$40&lt;&gt;"college")*O97))</f>
        <v/>
      </c>
      <c r="AX97" s="15">
        <f>BA96</f>
        <v/>
      </c>
      <c r="AY97" s="15">
        <f>MIN(AW97,AX97*(1+M97))</f>
        <v/>
      </c>
      <c r="AZ97" s="15">
        <f>AW97-AY97</f>
        <v/>
      </c>
      <c r="BA97" s="15">
        <f>AX97*(1+M97)-AY97</f>
        <v/>
      </c>
      <c r="BB97" s="15">
        <f>V97*healthcare!$B$5*Q97</f>
        <v/>
      </c>
      <c r="BC97" s="12">
        <f>(1-V97)*((B97&lt;65)+(C97&lt;65))</f>
        <v/>
      </c>
      <c r="BD97" s="12">
        <f>COUNTIF(household!$C$16:$C$23,"&gt;="&amp;A97)</f>
        <v/>
      </c>
      <c r="BE97" s="15">
        <f>(BC97*healthcare!$B$2+IF(BC97&gt;0,BD97,0)*healthcare!$B$3)*12*Q97</f>
        <v/>
      </c>
      <c r="BF97" s="15">
        <f>IF(BC97&gt;0,(BC97+BD97)*healthcare!$B$4*Q97,0)</f>
        <v/>
      </c>
      <c r="BG97" s="12">
        <f>(B97&gt;=65)+(C97&gt;=65)</f>
        <v/>
      </c>
      <c r="BH97" s="15">
        <f>BG97*(healthcare!$B$6+healthcare!$B$7+healthcare!$B$8)*12*Q97</f>
        <v/>
      </c>
      <c r="BI97" s="15">
        <f>BG97*healthcare!$B$9*Q97</f>
        <v/>
      </c>
      <c r="BJ97" s="15">
        <f>BG97*12*O97*SUMPRODUCT((DK95&gt;tax_tables!$Q$5:$Q$9*P97)*tax_tables!$T$5:$T$9)</f>
        <v/>
      </c>
      <c r="BK97" s="12">
        <f>AND(B97&gt;=$B$51,B97&lt;$B$51+$B$52)*1+AND(C97&gt;=$B$53,C97&lt;$B$53+$B$54)*1</f>
        <v/>
      </c>
      <c r="BL97" s="15">
        <f>BK97*$B$55*S97</f>
        <v/>
      </c>
      <c r="BM97" s="15">
        <f>BB97+BE97+BF97+BH97+BI97+BJ97+BL97</f>
        <v/>
      </c>
      <c r="BN97" s="15">
        <f>BP96</f>
        <v/>
      </c>
      <c r="BO97" s="15">
        <f>IF(V97=1,0,MIN(BN97*(1+M97),BF97+BG97*(healthcare!$B$6+healthcare!$B$7)*12*Q97+BI97+BJ97+BL97))</f>
        <v/>
      </c>
      <c r="BP97" s="15">
        <f>BN97*(1+M97)-BO97+AC97-CV97</f>
        <v/>
      </c>
      <c r="BQ97" s="15">
        <f>SUMPRODUCT((1-($B$76:$B$79&gt;0)*(A97&gt;=$B$76:$B$79))*(1-(($C$76:$C$79&gt;0)*(A97&gt;=$C$76:$C$79)))*(properties!$L$3:$L$6-properties!$M$3:$M$6))*O97+SUMPRODUCT((1-($B$76:$B$79&gt;0)*(A97&gt;=$B$76:$B$79))*(($C$76:$C$79&gt;0)*(A97&gt;=$C$76:$C$79))*($D$76:$D$79-$E$76:$E$79))*O97</f>
        <v/>
      </c>
      <c r="BR97" s="15">
        <f>SUMPRODUCT((1-($B$76:$B$79&gt;0)*(A97&gt;=$B$76:$B$79))*properties!$N$3:$N$6*(A97&lt;=properties!$O$3:$O$6))</f>
        <v/>
      </c>
      <c r="BS97" s="15">
        <f>MAX(0,BQ97-BR97)</f>
        <v/>
      </c>
      <c r="BT97" s="15">
        <f>SUMPRODUCT(($B$75:$B$79=A97)*$G$75:$G$79)</f>
        <v/>
      </c>
      <c r="BU97" s="15">
        <f>SUMPRODUCT(($B$75:$B$79=A97)*$H$75:$H$79)</f>
        <v/>
      </c>
      <c r="BV97" s="15">
        <f>SUMPRODUCT(($B$75:$B$79=A97)*$I$75:$I$79)</f>
        <v/>
      </c>
      <c r="BW97" s="15">
        <f>AL97*properties!$C$2*(1+properties!$D$2)^(A97-household!$B$4+1)</f>
        <v/>
      </c>
      <c r="BX97" s="15">
        <f>SUMPRODUCT((1-($B$76:$B$79&gt;0)*(A97&gt;=$B$76:$B$79))*properties!$C$3:$C$6*(1+properties!$D$3:$D$6)^(A97-household!$B$4+1))</f>
        <v/>
      </c>
      <c r="BY97" s="15">
        <f>IF(A97&gt;=$B$31,IF(A97&gt;=$B$32,MAX(household!$B$11*12*(1-$B$28)*O97*IF(A97&gt;=$B$30,1-$B$29,1)*$B$33,0.5*household!$B$12*12*(1-$B$28)*O97*IF(A97&gt;=$B$30,1-$B$29,1)*$B$35),household!$B$11*12*(1-$B$28)*O97*IF(A97&gt;=$B$30,1-$B$29,1)*$B$33),0)</f>
        <v/>
      </c>
      <c r="BZ97" s="15">
        <f>IF(A97&gt;=$B$32,IF(A97&gt;=$B$31,MAX(household!$B$12*12*(1-$B$28)*O97*IF(A97&gt;=$B$30,1-$B$29,1)*$B$34,0.5*household!$B$11*12*(1-$B$28)*O97*IF(A97&gt;=$B$30,1-$B$29,1)*$B$36),household!$B$12*12*(1-$B$28)*O97*IF(A97&gt;=$B$30,1-$B$29,1)*$B$34),0)</f>
        <v/>
      </c>
      <c r="CA97" s="15">
        <f>IF(AND($B$43&lt;&gt;0,A97&gt;=household!$B$6+$B$44),$B$43*(1+$B$18)^(MAX(household!$B$6+$B$44,household!$B$4-1)-household!$B$4+1)*(1+$B$47*$B$18)^(A97-MAX(household!$B$6+$B$44,household!$B$4-1)),0)</f>
        <v/>
      </c>
      <c r="CB97" s="15">
        <f>IF(AND($B$45&lt;&gt;0,A97&gt;=household!$B$9+$B$46),$B$45*(1+$B$18)^(MAX(household!$B$9+$B$46,household!$B$4-1)-household!$B$4+1)*(1+$B$47*$B$18)^(A97-MAX(household!$B$9+$B$46,household!$B$4-1)),0)</f>
        <v/>
      </c>
      <c r="CC97" s="15">
        <f>DC96</f>
        <v/>
      </c>
      <c r="CD97" s="15">
        <f>DD96</f>
        <v/>
      </c>
      <c r="CE97" s="15">
        <f>$B$20*CC97</f>
        <v/>
      </c>
      <c r="CF97" s="15">
        <f>DE96</f>
        <v/>
      </c>
      <c r="CG97" s="15">
        <f>DF96</f>
        <v/>
      </c>
      <c r="CH97" s="15">
        <f>IF(B97&gt;=$B$71,MAX(0,CF97)/INDEX(tax_tables!$Z$5:$Z$53,MATCH(B97,tax_tables!$Y$5:$Y$53,0)),0)</f>
        <v/>
      </c>
      <c r="CI97" s="15">
        <f>IF(C97&gt;=$B$72,MAX(0,CG97)/INDEX(tax_tables!$Z$5:$Z$53,MATCH(C97,tax_tables!$Y$5:$Y$53,0)),0)</f>
        <v/>
      </c>
      <c r="CJ97" s="15">
        <f>DG96</f>
        <v/>
      </c>
      <c r="CK97" s="15">
        <f>IF(OR($B$59="",$B$60=""),0,IF(AND(A97&gt;=$B$59,A97&lt;=$B$60),$B$58*O97,0))</f>
        <v/>
      </c>
      <c r="CL97" s="15">
        <f>MAX(0,CF97*(1+M97)-CH97)</f>
        <v/>
      </c>
      <c r="CM97" s="15">
        <f>MAX(0,CG97*(1+M97)-CI97)</f>
        <v/>
      </c>
      <c r="CN97" s="15">
        <f>EB96-AG96</f>
        <v/>
      </c>
      <c r="CO97" s="15">
        <f>AH97+F97+CA97+CB97+BQ97+CE97+CH97+CI97+BT97+AI97+AJ97+BO97</f>
        <v/>
      </c>
      <c r="CP97" s="15">
        <f>D97+CN97-CO97</f>
        <v/>
      </c>
      <c r="CQ97" s="15">
        <f>MAX(0,MIN(CP97,CC97*(1+M97-$B$20)))</f>
        <v/>
      </c>
      <c r="CR97" s="15">
        <f>MAX(0,MIN(CP97-CQ97,CL97+CM97))</f>
        <v/>
      </c>
      <c r="CS97" s="15">
        <f>IF(CL97+CM97&gt;1,CR97*CL97/(CL97+CM97),0)</f>
        <v/>
      </c>
      <c r="CT97" s="15">
        <f>CR97-CS97</f>
        <v/>
      </c>
      <c r="CU97" s="15">
        <f>MAX(0,MIN(CP97-CQ97-CR97,CJ97*(1+M97)))</f>
        <v/>
      </c>
      <c r="CV97" s="15">
        <f>MAX(0,MIN(CP97-CQ97-CR97-CU97,BN97*(1+M97)-BO97+AC97))</f>
        <v/>
      </c>
      <c r="CW97" s="15">
        <f>MAX(0,-CP97)</f>
        <v/>
      </c>
      <c r="CX97" s="15">
        <f>MIN(CK97,CL97-CS97+CM97-CT97)</f>
        <v/>
      </c>
      <c r="CY97" s="15">
        <f>IF(CL97-CS97+CM97-CT97&gt;1,CX97*(CL97-CS97)/(CL97-CS97+CM97-CT97),0)</f>
        <v/>
      </c>
      <c r="CZ97" s="15">
        <f>CX97-CY97</f>
        <v/>
      </c>
      <c r="DA97" s="22">
        <f>IF(CC97&gt;0,MAX(0,1-CD97/CC97),0)</f>
        <v/>
      </c>
      <c r="DB97" s="15">
        <f>CQ97*DA97</f>
        <v/>
      </c>
      <c r="DC97" s="15">
        <f>CC97*(1+M97-$B$20)-CQ97+CW97</f>
        <v/>
      </c>
      <c r="DD97" s="15">
        <f>CD97-(CQ97-DB97)+CW97</f>
        <v/>
      </c>
      <c r="DE97" s="15">
        <f>CF97*(1+M97)-CH97-CS97-CY97+Y97+AA97</f>
        <v/>
      </c>
      <c r="DF97" s="15">
        <f>CG97*(1+M97)-CI97-CT97-CZ97+Z97+AB97</f>
        <v/>
      </c>
      <c r="DG97" s="15">
        <f>CJ97*(1+M97)-CU97+CX97</f>
        <v/>
      </c>
      <c r="DH97" s="15">
        <f>AE97+CR97+CH97+CI97+CX97+CV97+BS97+AI97+CA97+CB97</f>
        <v/>
      </c>
      <c r="DI97" s="15">
        <f>CE97+DB97+BU97</f>
        <v/>
      </c>
      <c r="DJ97" s="15">
        <f>IF((DH97+DI97+0.5*F97)&lt;=tax_tables!$B$14,0,IF((DH97+DI97+0.5*F97)&lt;=tax_tables!$B$15,MIN(0.5*F97,0.5*((DH97+DI97+0.5*F97)-tax_tables!$B$14)),MIN(0.85*F97,0.85*((DH97+DI97+0.5*F97)-tax_tables!$B$15)+MIN(0.5*F97,tax_tables!$B$15-tax_tables!$B$14))))</f>
        <v/>
      </c>
      <c r="DK97" s="15">
        <f>DH97+DI97+DJ97</f>
        <v/>
      </c>
      <c r="DL97" s="12">
        <f>(B97&gt;=65)+(C97&gt;=65)</f>
        <v/>
      </c>
      <c r="DM97" s="15">
        <f>(tax_tables!$B$5+tax_tables!$B$6*DL97)*P97</f>
        <v/>
      </c>
      <c r="DN97" s="15">
        <f>IF(AND(A97&gt;=tax_tables!$B$8,A97&lt;=tax_tables!$B$9),DL97*MAX(0,tax_tables!$B$7-tax_tables!$B$11*MAX(0,DK97-tax_tables!$B$10)),0)</f>
        <v/>
      </c>
      <c r="DO97" s="15">
        <f>IFERROR(MAX(tax_tables!$B$16,INDEX(tax_tables!$W$5:$W$8,MATCH(A97,tax_tables!$V$5:$V$8,0))-tax_tables!$B$18*MAX(0,DK97-tax_tables!$B$17*1.01^(A97-tax_tables!$B$4))),tax_tables!$B$16)</f>
        <v/>
      </c>
      <c r="DP97" s="15">
        <f>MAX(0,BM97-BB97-tax_tables!$B$23*DK97)</f>
        <v/>
      </c>
      <c r="DQ97" s="15">
        <f>AN97+MIN(DO97,DY96+DZ96+EA96+AL97*properties!$H$2*O97)+DP97+$B$61*O97</f>
        <v/>
      </c>
      <c r="DR97" s="15">
        <f>MAX(DM97,DQ97)</f>
        <v/>
      </c>
      <c r="DS97" s="15">
        <f>MAX(0,DH97+DJ97-DR97-DN97)</f>
        <v/>
      </c>
      <c r="DT97" s="15">
        <f>MAX(0,DI97-MAX(0,DR97+DN97-DH97-DJ97))</f>
        <v/>
      </c>
      <c r="DU97" s="15">
        <f>SUMPRODUCT((DS97&gt;tax_tables!$E$5:$E$16*P97)*(DS97-tax_tables!$E$5:$E$16*P97)*tax_tables!$G$5:$G$16)+SUMPRODUCT(((DS97+DT97)&gt;tax_tables!$I$5:$I$16*P97)*((DS97+DT97)-tax_tables!$I$5:$I$16*P97)*tax_tables!$K$5:$K$16)-SUMPRODUCT((DS97&gt;tax_tables!$I$5:$I$16*P97)*(DS97-tax_tables!$I$5:$I$16*P97)*tax_tables!$K$5:$K$16)+tax_tables!$B$19*BV97+tax_tables!$B$12*MIN(CE97+DB97+BS97+BU97,MAX(0,DK97-tax_tables!$B$13))</f>
        <v/>
      </c>
      <c r="DV97" s="12">
        <f>IF($B$39="",0,IF(A97&gt;=$B$39,1,0))</f>
        <v/>
      </c>
      <c r="DW97" s="15">
        <f>IF(B97+0.5&gt;=tax_tables!$B$30,MIN(CS97+CH97+CY97+CA97,tax_tables!$B$29),0)+IF(C97+0.5&gt;=tax_tables!$B$30,MIN(CT97+CI97+CZ97+CB97,tax_tables!$B$29),0)</f>
        <v/>
      </c>
      <c r="DX97" s="15">
        <f>MAX(0,DK97-tax_tables!$B$28*DJ97-DW97-tax_tables!$B$26*IF(tax_tables!$B$27=1,P97,1))</f>
        <v/>
      </c>
      <c r="DY97" s="15">
        <f>(1-DV97)*SUMPRODUCT((DX97&gt;tax_tables!$M$5:$M$16*IF(tax_tables!$B$27=1,P97,1))*(DX97-tax_tables!$M$5:$M$16*IF(tax_tables!$B$27=1,P97,1))*tax_tables!$O$5:$O$16)</f>
        <v/>
      </c>
      <c r="DZ97" s="15">
        <f>(1-DV97)*tax_tables!$B$31*DX97</f>
        <v/>
      </c>
      <c r="EA97" s="15">
        <f>DV97*$B$40*MAX(0,DK97-DJ97)</f>
        <v/>
      </c>
      <c r="EB97" s="15">
        <f>DU97+DY97+DZ97+EA97</f>
        <v/>
      </c>
      <c r="EC97" s="15">
        <f>DC97+DE97+DF97+DG97+BP97</f>
        <v/>
      </c>
      <c r="ED97" s="15">
        <f>EC97+BW97-AP97+BX97</f>
        <v/>
      </c>
    </row>
    <row r="98">
      <c r="A98" s="12">
        <f>A97+1</f>
        <v/>
      </c>
      <c r="B98" s="12">
        <f>A98-household!$B$6</f>
        <v/>
      </c>
      <c r="C98" s="12">
        <f>A98-household!$B$9</f>
        <v/>
      </c>
      <c r="D98" s="15">
        <f>AS98+AT98+AU98+AV98+AZ98+BM98+AK98</f>
        <v/>
      </c>
      <c r="E98" s="15">
        <f>CN98+AG98+AF98</f>
        <v/>
      </c>
      <c r="F98" s="15">
        <f>BY98+BZ98</f>
        <v/>
      </c>
      <c r="G98" s="15">
        <f>CQ98+CR98+CU98+CH98+CI98+CE98-CW98+CV98+BO98</f>
        <v/>
      </c>
      <c r="H98" s="22">
        <f>IF(CC98+CF98+CG98+CJ98+BN98&lt;=0,"",G98/(CC98+CF98+CG98+CJ98+BN98))</f>
        <v/>
      </c>
      <c r="I98" s="23">
        <f>EC98/O98</f>
        <v/>
      </c>
      <c r="J98" s="23">
        <f>ED98/O98</f>
        <v/>
      </c>
      <c r="K98" s="15">
        <f>MAX(0,CP98-CQ98-CR98-CU98-CV98)</f>
        <v/>
      </c>
      <c r="L98" s="11" t="n"/>
      <c r="M98" s="22">
        <f>IF(L98="",$B$19,L98)</f>
        <v/>
      </c>
      <c r="N98" s="14" t="n"/>
      <c r="O98" s="13">
        <f>(1+$B$18)^(A98-household!$B$4+1)</f>
        <v/>
      </c>
      <c r="P98" s="13">
        <f>(1+$B$18)^(A98-tax_tables!$B$4)</f>
        <v/>
      </c>
      <c r="Q98" s="13">
        <f>(1+$B$21)^(A98-household!$B$4+1)</f>
        <v/>
      </c>
      <c r="R98" s="13">
        <f>(1+$B$22)^(A98-household!$B$4+1)</f>
        <v/>
      </c>
      <c r="S98" s="13">
        <f>(1+$B$23)^(A98-household!$B$4+1)</f>
        <v/>
      </c>
      <c r="T98" s="12">
        <f>IF(A98&lt;$B$5,1,0)</f>
        <v/>
      </c>
      <c r="U98" s="12">
        <f>IF(A98&lt;$B$6,1,0)</f>
        <v/>
      </c>
      <c r="V98" s="12">
        <f>IF(T98+U98&gt;0,1,0)</f>
        <v/>
      </c>
      <c r="W98" s="15">
        <f>T98*$B$7*O98+SUMPRODUCT(($B$83:$B$88=A98)*($D$83:$D$88="Wages: person 1")*$C$83:$C$88)*O98</f>
        <v/>
      </c>
      <c r="X98" s="15">
        <f>U98*$B$8*O98+SUMPRODUCT(($B$83:$B$88=A98)*($D$83:$D$88="Wages: person 2")*$C$83:$C$88)*O98</f>
        <v/>
      </c>
      <c r="Y98" s="15">
        <f>T98*$B$9*O98</f>
        <v/>
      </c>
      <c r="Z98" s="15">
        <f>U98*$B$10*O98</f>
        <v/>
      </c>
      <c r="AA98" s="15">
        <f>T98*$B$11*O98</f>
        <v/>
      </c>
      <c r="AB98" s="15">
        <f>U98*$B$12*O98</f>
        <v/>
      </c>
      <c r="AC98" s="15">
        <f>V98*$B$13*O98</f>
        <v/>
      </c>
      <c r="AD98" s="15">
        <f>W98+X98</f>
        <v/>
      </c>
      <c r="AE98" s="15">
        <f>AD98-Y98-Z98-AC98</f>
        <v/>
      </c>
      <c r="AF98" s="15">
        <f>0.062*MIN(W98,tax_tables!$B$21*P98)+0.062*MIN(X98,tax_tables!$B$21*P98)+0.0145*AD98+0.009*MAX(0,AD98-tax_tables!$B$22)</f>
        <v/>
      </c>
      <c r="AG98" s="15">
        <f>$B$14*AE98</f>
        <v/>
      </c>
      <c r="AH98" s="15">
        <f>AD98-Y98-Z98-AC98-AF98-AG98</f>
        <v/>
      </c>
      <c r="AI98" s="15">
        <f>SUMPRODUCT(($B$83:$B$88=A98)*($D$83:$D$88="Other taxable income")*$C$83:$C$88)*O98</f>
        <v/>
      </c>
      <c r="AJ98" s="15">
        <f>SUMPRODUCT(($B$83:$B$88=A98)*($D$83:$D$88="Tax-free money in")*$C$83:$C$88)*O98</f>
        <v/>
      </c>
      <c r="AK98" s="15">
        <f>SUMPRODUCT(($B$83:$B$88=A98)*($D$83:$D$88="Expense")*$C$83:$C$88)*O98</f>
        <v/>
      </c>
      <c r="AL98" s="12">
        <f>IF(OR($B$75="",A98&lt;$B$75),1,0)</f>
        <v/>
      </c>
      <c r="AM98" s="15">
        <f>AP97</f>
        <v/>
      </c>
      <c r="AN98" s="15">
        <f>AL98*AM98*properties!$J$2</f>
        <v/>
      </c>
      <c r="AO98" s="15">
        <f>AL98*MIN(properties!$K$2,AM98+AN98)</f>
        <v/>
      </c>
      <c r="AP98" s="15">
        <f>AL98*(AM98+AN98-AO98)</f>
        <v/>
      </c>
      <c r="AQ98" s="15">
        <f>AL98*properties!$G$2*O98</f>
        <v/>
      </c>
      <c r="AR98" s="15">
        <f>(1-AL98)*$E$75*O98</f>
        <v/>
      </c>
      <c r="AS98" s="15">
        <f>AO98+AQ98+AR98</f>
        <v/>
      </c>
      <c r="AT98" s="15">
        <f>SUMIF(budget!$A$2:$A$300,"household",budget!$F$2:$F$300)*O98*IF(N98="",1,N98)</f>
        <v/>
      </c>
      <c r="AU98" s="15">
        <f>SUMPRODUCT((other_budget!$C$2:$C$30&lt;=A98)*(other_budget!$D$2:$D$30&gt;=A98)*other_budget!$B$2:$B$30)*O98</f>
        <v/>
      </c>
      <c r="AV98" s="15">
        <f>SUMPRODUCT((kids_budget!$D$2:$D$40&lt;=A98)*(kids_budget!$E$2:$E$40&gt;=A98)*(kids_budget!$G$2:$G$40&lt;&gt;"college_funds")*kids_budget!$C$2:$C$40*((kids_budget!$F$2:$F$40="college")*R98+(kids_budget!$F$2:$F$40&lt;&gt;"college")*O98))</f>
        <v/>
      </c>
      <c r="AW98" s="15">
        <f>SUMPRODUCT((kids_budget!$D$2:$D$40&lt;=A98)*(kids_budget!$E$2:$E$40&gt;=A98)*(kids_budget!$G$2:$G$40="college_funds")*kids_budget!$C$2:$C$40*((kids_budget!$F$2:$F$40="college")*R98+(kids_budget!$F$2:$F$40&lt;&gt;"college")*O98))</f>
        <v/>
      </c>
      <c r="AX98" s="15">
        <f>BA97</f>
        <v/>
      </c>
      <c r="AY98" s="15">
        <f>MIN(AW98,AX98*(1+M98))</f>
        <v/>
      </c>
      <c r="AZ98" s="15">
        <f>AW98-AY98</f>
        <v/>
      </c>
      <c r="BA98" s="15">
        <f>AX98*(1+M98)-AY98</f>
        <v/>
      </c>
      <c r="BB98" s="15">
        <f>V98*healthcare!$B$5*Q98</f>
        <v/>
      </c>
      <c r="BC98" s="12">
        <f>(1-V98)*((B98&lt;65)+(C98&lt;65))</f>
        <v/>
      </c>
      <c r="BD98" s="12">
        <f>COUNTIF(household!$C$16:$C$23,"&gt;="&amp;A98)</f>
        <v/>
      </c>
      <c r="BE98" s="15">
        <f>(BC98*healthcare!$B$2+IF(BC98&gt;0,BD98,0)*healthcare!$B$3)*12*Q98</f>
        <v/>
      </c>
      <c r="BF98" s="15">
        <f>IF(BC98&gt;0,(BC98+BD98)*healthcare!$B$4*Q98,0)</f>
        <v/>
      </c>
      <c r="BG98" s="12">
        <f>(B98&gt;=65)+(C98&gt;=65)</f>
        <v/>
      </c>
      <c r="BH98" s="15">
        <f>BG98*(healthcare!$B$6+healthcare!$B$7+healthcare!$B$8)*12*Q98</f>
        <v/>
      </c>
      <c r="BI98" s="15">
        <f>BG98*healthcare!$B$9*Q98</f>
        <v/>
      </c>
      <c r="BJ98" s="15">
        <f>BG98*12*O98*SUMPRODUCT((DK96&gt;tax_tables!$Q$5:$Q$9*P98)*tax_tables!$T$5:$T$9)</f>
        <v/>
      </c>
      <c r="BK98" s="12">
        <f>AND(B98&gt;=$B$51,B98&lt;$B$51+$B$52)*1+AND(C98&gt;=$B$53,C98&lt;$B$53+$B$54)*1</f>
        <v/>
      </c>
      <c r="BL98" s="15">
        <f>BK98*$B$55*S98</f>
        <v/>
      </c>
      <c r="BM98" s="15">
        <f>BB98+BE98+BF98+BH98+BI98+BJ98+BL98</f>
        <v/>
      </c>
      <c r="BN98" s="15">
        <f>BP97</f>
        <v/>
      </c>
      <c r="BO98" s="15">
        <f>IF(V98=1,0,MIN(BN98*(1+M98),BF98+BG98*(healthcare!$B$6+healthcare!$B$7)*12*Q98+BI98+BJ98+BL98))</f>
        <v/>
      </c>
      <c r="BP98" s="15">
        <f>BN98*(1+M98)-BO98+AC98-CV98</f>
        <v/>
      </c>
      <c r="BQ98" s="15">
        <f>SUMPRODUCT((1-($B$76:$B$79&gt;0)*(A98&gt;=$B$76:$B$79))*(1-(($C$76:$C$79&gt;0)*(A98&gt;=$C$76:$C$79)))*(properties!$L$3:$L$6-properties!$M$3:$M$6))*O98+SUMPRODUCT((1-($B$76:$B$79&gt;0)*(A98&gt;=$B$76:$B$79))*(($C$76:$C$79&gt;0)*(A98&gt;=$C$76:$C$79))*($D$76:$D$79-$E$76:$E$79))*O98</f>
        <v/>
      </c>
      <c r="BR98" s="15">
        <f>SUMPRODUCT((1-($B$76:$B$79&gt;0)*(A98&gt;=$B$76:$B$79))*properties!$N$3:$N$6*(A98&lt;=properties!$O$3:$O$6))</f>
        <v/>
      </c>
      <c r="BS98" s="15">
        <f>MAX(0,BQ98-BR98)</f>
        <v/>
      </c>
      <c r="BT98" s="15">
        <f>SUMPRODUCT(($B$75:$B$79=A98)*$G$75:$G$79)</f>
        <v/>
      </c>
      <c r="BU98" s="15">
        <f>SUMPRODUCT(($B$75:$B$79=A98)*$H$75:$H$79)</f>
        <v/>
      </c>
      <c r="BV98" s="15">
        <f>SUMPRODUCT(($B$75:$B$79=A98)*$I$75:$I$79)</f>
        <v/>
      </c>
      <c r="BW98" s="15">
        <f>AL98*properties!$C$2*(1+properties!$D$2)^(A98-household!$B$4+1)</f>
        <v/>
      </c>
      <c r="BX98" s="15">
        <f>SUMPRODUCT((1-($B$76:$B$79&gt;0)*(A98&gt;=$B$76:$B$79))*properties!$C$3:$C$6*(1+properties!$D$3:$D$6)^(A98-household!$B$4+1))</f>
        <v/>
      </c>
      <c r="BY98" s="15">
        <f>IF(A98&gt;=$B$31,IF(A98&gt;=$B$32,MAX(household!$B$11*12*(1-$B$28)*O98*IF(A98&gt;=$B$30,1-$B$29,1)*$B$33,0.5*household!$B$12*12*(1-$B$28)*O98*IF(A98&gt;=$B$30,1-$B$29,1)*$B$35),household!$B$11*12*(1-$B$28)*O98*IF(A98&gt;=$B$30,1-$B$29,1)*$B$33),0)</f>
        <v/>
      </c>
      <c r="BZ98" s="15">
        <f>IF(A98&gt;=$B$32,IF(A98&gt;=$B$31,MAX(household!$B$12*12*(1-$B$28)*O98*IF(A98&gt;=$B$30,1-$B$29,1)*$B$34,0.5*household!$B$11*12*(1-$B$28)*O98*IF(A98&gt;=$B$30,1-$B$29,1)*$B$36),household!$B$12*12*(1-$B$28)*O98*IF(A98&gt;=$B$30,1-$B$29,1)*$B$34),0)</f>
        <v/>
      </c>
      <c r="CA98" s="15">
        <f>IF(AND($B$43&lt;&gt;0,A98&gt;=household!$B$6+$B$44),$B$43*(1+$B$18)^(MAX(household!$B$6+$B$44,household!$B$4-1)-household!$B$4+1)*(1+$B$47*$B$18)^(A98-MAX(household!$B$6+$B$44,household!$B$4-1)),0)</f>
        <v/>
      </c>
      <c r="CB98" s="15">
        <f>IF(AND($B$45&lt;&gt;0,A98&gt;=household!$B$9+$B$46),$B$45*(1+$B$18)^(MAX(household!$B$9+$B$46,household!$B$4-1)-household!$B$4+1)*(1+$B$47*$B$18)^(A98-MAX(household!$B$9+$B$46,household!$B$4-1)),0)</f>
        <v/>
      </c>
      <c r="CC98" s="15">
        <f>DC97</f>
        <v/>
      </c>
      <c r="CD98" s="15">
        <f>DD97</f>
        <v/>
      </c>
      <c r="CE98" s="15">
        <f>$B$20*CC98</f>
        <v/>
      </c>
      <c r="CF98" s="15">
        <f>DE97</f>
        <v/>
      </c>
      <c r="CG98" s="15">
        <f>DF97</f>
        <v/>
      </c>
      <c r="CH98" s="15">
        <f>IF(B98&gt;=$B$71,MAX(0,CF98)/INDEX(tax_tables!$Z$5:$Z$53,MATCH(B98,tax_tables!$Y$5:$Y$53,0)),0)</f>
        <v/>
      </c>
      <c r="CI98" s="15">
        <f>IF(C98&gt;=$B$72,MAX(0,CG98)/INDEX(tax_tables!$Z$5:$Z$53,MATCH(C98,tax_tables!$Y$5:$Y$53,0)),0)</f>
        <v/>
      </c>
      <c r="CJ98" s="15">
        <f>DG97</f>
        <v/>
      </c>
      <c r="CK98" s="15">
        <f>IF(OR($B$59="",$B$60=""),0,IF(AND(A98&gt;=$B$59,A98&lt;=$B$60),$B$58*O98,0))</f>
        <v/>
      </c>
      <c r="CL98" s="15">
        <f>MAX(0,CF98*(1+M98)-CH98)</f>
        <v/>
      </c>
      <c r="CM98" s="15">
        <f>MAX(0,CG98*(1+M98)-CI98)</f>
        <v/>
      </c>
      <c r="CN98" s="15">
        <f>EB97-AG97</f>
        <v/>
      </c>
      <c r="CO98" s="15">
        <f>AH98+F98+CA98+CB98+BQ98+CE98+CH98+CI98+BT98+AI98+AJ98+BO98</f>
        <v/>
      </c>
      <c r="CP98" s="15">
        <f>D98+CN98-CO98</f>
        <v/>
      </c>
      <c r="CQ98" s="15">
        <f>MAX(0,MIN(CP98,CC98*(1+M98-$B$20)))</f>
        <v/>
      </c>
      <c r="CR98" s="15">
        <f>MAX(0,MIN(CP98-CQ98,CL98+CM98))</f>
        <v/>
      </c>
      <c r="CS98" s="15">
        <f>IF(CL98+CM98&gt;1,CR98*CL98/(CL98+CM98),0)</f>
        <v/>
      </c>
      <c r="CT98" s="15">
        <f>CR98-CS98</f>
        <v/>
      </c>
      <c r="CU98" s="15">
        <f>MAX(0,MIN(CP98-CQ98-CR98,CJ98*(1+M98)))</f>
        <v/>
      </c>
      <c r="CV98" s="15">
        <f>MAX(0,MIN(CP98-CQ98-CR98-CU98,BN98*(1+M98)-BO98+AC98))</f>
        <v/>
      </c>
      <c r="CW98" s="15">
        <f>MAX(0,-CP98)</f>
        <v/>
      </c>
      <c r="CX98" s="15">
        <f>MIN(CK98,CL98-CS98+CM98-CT98)</f>
        <v/>
      </c>
      <c r="CY98" s="15">
        <f>IF(CL98-CS98+CM98-CT98&gt;1,CX98*(CL98-CS98)/(CL98-CS98+CM98-CT98),0)</f>
        <v/>
      </c>
      <c r="CZ98" s="15">
        <f>CX98-CY98</f>
        <v/>
      </c>
      <c r="DA98" s="22">
        <f>IF(CC98&gt;0,MAX(0,1-CD98/CC98),0)</f>
        <v/>
      </c>
      <c r="DB98" s="15">
        <f>CQ98*DA98</f>
        <v/>
      </c>
      <c r="DC98" s="15">
        <f>CC98*(1+M98-$B$20)-CQ98+CW98</f>
        <v/>
      </c>
      <c r="DD98" s="15">
        <f>CD98-(CQ98-DB98)+CW98</f>
        <v/>
      </c>
      <c r="DE98" s="15">
        <f>CF98*(1+M98)-CH98-CS98-CY98+Y98+AA98</f>
        <v/>
      </c>
      <c r="DF98" s="15">
        <f>CG98*(1+M98)-CI98-CT98-CZ98+Z98+AB98</f>
        <v/>
      </c>
      <c r="DG98" s="15">
        <f>CJ98*(1+M98)-CU98+CX98</f>
        <v/>
      </c>
      <c r="DH98" s="15">
        <f>AE98+CR98+CH98+CI98+CX98+CV98+BS98+AI98+CA98+CB98</f>
        <v/>
      </c>
      <c r="DI98" s="15">
        <f>CE98+DB98+BU98</f>
        <v/>
      </c>
      <c r="DJ98" s="15">
        <f>IF((DH98+DI98+0.5*F98)&lt;=tax_tables!$B$14,0,IF((DH98+DI98+0.5*F98)&lt;=tax_tables!$B$15,MIN(0.5*F98,0.5*((DH98+DI98+0.5*F98)-tax_tables!$B$14)),MIN(0.85*F98,0.85*((DH98+DI98+0.5*F98)-tax_tables!$B$15)+MIN(0.5*F98,tax_tables!$B$15-tax_tables!$B$14))))</f>
        <v/>
      </c>
      <c r="DK98" s="15">
        <f>DH98+DI98+DJ98</f>
        <v/>
      </c>
      <c r="DL98" s="12">
        <f>(B98&gt;=65)+(C98&gt;=65)</f>
        <v/>
      </c>
      <c r="DM98" s="15">
        <f>(tax_tables!$B$5+tax_tables!$B$6*DL98)*P98</f>
        <v/>
      </c>
      <c r="DN98" s="15">
        <f>IF(AND(A98&gt;=tax_tables!$B$8,A98&lt;=tax_tables!$B$9),DL98*MAX(0,tax_tables!$B$7-tax_tables!$B$11*MAX(0,DK98-tax_tables!$B$10)),0)</f>
        <v/>
      </c>
      <c r="DO98" s="15">
        <f>IFERROR(MAX(tax_tables!$B$16,INDEX(tax_tables!$W$5:$W$8,MATCH(A98,tax_tables!$V$5:$V$8,0))-tax_tables!$B$18*MAX(0,DK98-tax_tables!$B$17*1.01^(A98-tax_tables!$B$4))),tax_tables!$B$16)</f>
        <v/>
      </c>
      <c r="DP98" s="15">
        <f>MAX(0,BM98-BB98-tax_tables!$B$23*DK98)</f>
        <v/>
      </c>
      <c r="DQ98" s="15">
        <f>AN98+MIN(DO98,DY97+DZ97+EA97+AL98*properties!$H$2*O98)+DP98+$B$61*O98</f>
        <v/>
      </c>
      <c r="DR98" s="15">
        <f>MAX(DM98,DQ98)</f>
        <v/>
      </c>
      <c r="DS98" s="15">
        <f>MAX(0,DH98+DJ98-DR98-DN98)</f>
        <v/>
      </c>
      <c r="DT98" s="15">
        <f>MAX(0,DI98-MAX(0,DR98+DN98-DH98-DJ98))</f>
        <v/>
      </c>
      <c r="DU98" s="15">
        <f>SUMPRODUCT((DS98&gt;tax_tables!$E$5:$E$16*P98)*(DS98-tax_tables!$E$5:$E$16*P98)*tax_tables!$G$5:$G$16)+SUMPRODUCT(((DS98+DT98)&gt;tax_tables!$I$5:$I$16*P98)*((DS98+DT98)-tax_tables!$I$5:$I$16*P98)*tax_tables!$K$5:$K$16)-SUMPRODUCT((DS98&gt;tax_tables!$I$5:$I$16*P98)*(DS98-tax_tables!$I$5:$I$16*P98)*tax_tables!$K$5:$K$16)+tax_tables!$B$19*BV98+tax_tables!$B$12*MIN(CE98+DB98+BS98+BU98,MAX(0,DK98-tax_tables!$B$13))</f>
        <v/>
      </c>
      <c r="DV98" s="12">
        <f>IF($B$39="",0,IF(A98&gt;=$B$39,1,0))</f>
        <v/>
      </c>
      <c r="DW98" s="15">
        <f>IF(B98+0.5&gt;=tax_tables!$B$30,MIN(CS98+CH98+CY98+CA98,tax_tables!$B$29),0)+IF(C98+0.5&gt;=tax_tables!$B$30,MIN(CT98+CI98+CZ98+CB98,tax_tables!$B$29),0)</f>
        <v/>
      </c>
      <c r="DX98" s="15">
        <f>MAX(0,DK98-tax_tables!$B$28*DJ98-DW98-tax_tables!$B$26*IF(tax_tables!$B$27=1,P98,1))</f>
        <v/>
      </c>
      <c r="DY98" s="15">
        <f>(1-DV98)*SUMPRODUCT((DX98&gt;tax_tables!$M$5:$M$16*IF(tax_tables!$B$27=1,P98,1))*(DX98-tax_tables!$M$5:$M$16*IF(tax_tables!$B$27=1,P98,1))*tax_tables!$O$5:$O$16)</f>
        <v/>
      </c>
      <c r="DZ98" s="15">
        <f>(1-DV98)*tax_tables!$B$31*DX98</f>
        <v/>
      </c>
      <c r="EA98" s="15">
        <f>DV98*$B$40*MAX(0,DK98-DJ98)</f>
        <v/>
      </c>
      <c r="EB98" s="15">
        <f>DU98+DY98+DZ98+EA98</f>
        <v/>
      </c>
      <c r="EC98" s="15">
        <f>DC98+DE98+DF98+DG98+BP98</f>
        <v/>
      </c>
      <c r="ED98" s="15">
        <f>EC98+BW98-AP98+BX98</f>
        <v/>
      </c>
    </row>
    <row r="99">
      <c r="A99" s="12">
        <f>A98+1</f>
        <v/>
      </c>
      <c r="B99" s="12">
        <f>A99-household!$B$6</f>
        <v/>
      </c>
      <c r="C99" s="12">
        <f>A99-household!$B$9</f>
        <v/>
      </c>
      <c r="D99" s="15">
        <f>AS99+AT99+AU99+AV99+AZ99+BM99+AK99</f>
        <v/>
      </c>
      <c r="E99" s="15">
        <f>CN99+AG99+AF99</f>
        <v/>
      </c>
      <c r="F99" s="15">
        <f>BY99+BZ99</f>
        <v/>
      </c>
      <c r="G99" s="15">
        <f>CQ99+CR99+CU99+CH99+CI99+CE99-CW99+CV99+BO99</f>
        <v/>
      </c>
      <c r="H99" s="22">
        <f>IF(CC99+CF99+CG99+CJ99+BN99&lt;=0,"",G99/(CC99+CF99+CG99+CJ99+BN99))</f>
        <v/>
      </c>
      <c r="I99" s="23">
        <f>EC99/O99</f>
        <v/>
      </c>
      <c r="J99" s="23">
        <f>ED99/O99</f>
        <v/>
      </c>
      <c r="K99" s="15">
        <f>MAX(0,CP99-CQ99-CR99-CU99-CV99)</f>
        <v/>
      </c>
      <c r="L99" s="11" t="n"/>
      <c r="M99" s="22">
        <f>IF(L99="",$B$19,L99)</f>
        <v/>
      </c>
      <c r="N99" s="14" t="n"/>
      <c r="O99" s="13">
        <f>(1+$B$18)^(A99-household!$B$4+1)</f>
        <v/>
      </c>
      <c r="P99" s="13">
        <f>(1+$B$18)^(A99-tax_tables!$B$4)</f>
        <v/>
      </c>
      <c r="Q99" s="13">
        <f>(1+$B$21)^(A99-household!$B$4+1)</f>
        <v/>
      </c>
      <c r="R99" s="13">
        <f>(1+$B$22)^(A99-household!$B$4+1)</f>
        <v/>
      </c>
      <c r="S99" s="13">
        <f>(1+$B$23)^(A99-household!$B$4+1)</f>
        <v/>
      </c>
      <c r="T99" s="12">
        <f>IF(A99&lt;$B$5,1,0)</f>
        <v/>
      </c>
      <c r="U99" s="12">
        <f>IF(A99&lt;$B$6,1,0)</f>
        <v/>
      </c>
      <c r="V99" s="12">
        <f>IF(T99+U99&gt;0,1,0)</f>
        <v/>
      </c>
      <c r="W99" s="15">
        <f>T99*$B$7*O99+SUMPRODUCT(($B$83:$B$88=A99)*($D$83:$D$88="Wages: person 1")*$C$83:$C$88)*O99</f>
        <v/>
      </c>
      <c r="X99" s="15">
        <f>U99*$B$8*O99+SUMPRODUCT(($B$83:$B$88=A99)*($D$83:$D$88="Wages: person 2")*$C$83:$C$88)*O99</f>
        <v/>
      </c>
      <c r="Y99" s="15">
        <f>T99*$B$9*O99</f>
        <v/>
      </c>
      <c r="Z99" s="15">
        <f>U99*$B$10*O99</f>
        <v/>
      </c>
      <c r="AA99" s="15">
        <f>T99*$B$11*O99</f>
        <v/>
      </c>
      <c r="AB99" s="15">
        <f>U99*$B$12*O99</f>
        <v/>
      </c>
      <c r="AC99" s="15">
        <f>V99*$B$13*O99</f>
        <v/>
      </c>
      <c r="AD99" s="15">
        <f>W99+X99</f>
        <v/>
      </c>
      <c r="AE99" s="15">
        <f>AD99-Y99-Z99-AC99</f>
        <v/>
      </c>
      <c r="AF99" s="15">
        <f>0.062*MIN(W99,tax_tables!$B$21*P99)+0.062*MIN(X99,tax_tables!$B$21*P99)+0.0145*AD99+0.009*MAX(0,AD99-tax_tables!$B$22)</f>
        <v/>
      </c>
      <c r="AG99" s="15">
        <f>$B$14*AE99</f>
        <v/>
      </c>
      <c r="AH99" s="15">
        <f>AD99-Y99-Z99-AC99-AF99-AG99</f>
        <v/>
      </c>
      <c r="AI99" s="15">
        <f>SUMPRODUCT(($B$83:$B$88=A99)*($D$83:$D$88="Other taxable income")*$C$83:$C$88)*O99</f>
        <v/>
      </c>
      <c r="AJ99" s="15">
        <f>SUMPRODUCT(($B$83:$B$88=A99)*($D$83:$D$88="Tax-free money in")*$C$83:$C$88)*O99</f>
        <v/>
      </c>
      <c r="AK99" s="15">
        <f>SUMPRODUCT(($B$83:$B$88=A99)*($D$83:$D$88="Expense")*$C$83:$C$88)*O99</f>
        <v/>
      </c>
      <c r="AL99" s="12">
        <f>IF(OR($B$75="",A99&lt;$B$75),1,0)</f>
        <v/>
      </c>
      <c r="AM99" s="15">
        <f>AP98</f>
        <v/>
      </c>
      <c r="AN99" s="15">
        <f>AL99*AM99*properties!$J$2</f>
        <v/>
      </c>
      <c r="AO99" s="15">
        <f>AL99*MIN(properties!$K$2,AM99+AN99)</f>
        <v/>
      </c>
      <c r="AP99" s="15">
        <f>AL99*(AM99+AN99-AO99)</f>
        <v/>
      </c>
      <c r="AQ99" s="15">
        <f>AL99*properties!$G$2*O99</f>
        <v/>
      </c>
      <c r="AR99" s="15">
        <f>(1-AL99)*$E$75*O99</f>
        <v/>
      </c>
      <c r="AS99" s="15">
        <f>AO99+AQ99+AR99</f>
        <v/>
      </c>
      <c r="AT99" s="15">
        <f>SUMIF(budget!$A$2:$A$300,"household",budget!$F$2:$F$300)*O99*IF(N99="",1,N99)</f>
        <v/>
      </c>
      <c r="AU99" s="15">
        <f>SUMPRODUCT((other_budget!$C$2:$C$30&lt;=A99)*(other_budget!$D$2:$D$30&gt;=A99)*other_budget!$B$2:$B$30)*O99</f>
        <v/>
      </c>
      <c r="AV99" s="15">
        <f>SUMPRODUCT((kids_budget!$D$2:$D$40&lt;=A99)*(kids_budget!$E$2:$E$40&gt;=A99)*(kids_budget!$G$2:$G$40&lt;&gt;"college_funds")*kids_budget!$C$2:$C$40*((kids_budget!$F$2:$F$40="college")*R99+(kids_budget!$F$2:$F$40&lt;&gt;"college")*O99))</f>
        <v/>
      </c>
      <c r="AW99" s="15">
        <f>SUMPRODUCT((kids_budget!$D$2:$D$40&lt;=A99)*(kids_budget!$E$2:$E$40&gt;=A99)*(kids_budget!$G$2:$G$40="college_funds")*kids_budget!$C$2:$C$40*((kids_budget!$F$2:$F$40="college")*R99+(kids_budget!$F$2:$F$40&lt;&gt;"college")*O99))</f>
        <v/>
      </c>
      <c r="AX99" s="15">
        <f>BA98</f>
        <v/>
      </c>
      <c r="AY99" s="15">
        <f>MIN(AW99,AX99*(1+M99))</f>
        <v/>
      </c>
      <c r="AZ99" s="15">
        <f>AW99-AY99</f>
        <v/>
      </c>
      <c r="BA99" s="15">
        <f>AX99*(1+M99)-AY99</f>
        <v/>
      </c>
      <c r="BB99" s="15">
        <f>V99*healthcare!$B$5*Q99</f>
        <v/>
      </c>
      <c r="BC99" s="12">
        <f>(1-V99)*((B99&lt;65)+(C99&lt;65))</f>
        <v/>
      </c>
      <c r="BD99" s="12">
        <f>COUNTIF(household!$C$16:$C$23,"&gt;="&amp;A99)</f>
        <v/>
      </c>
      <c r="BE99" s="15">
        <f>(BC99*healthcare!$B$2+IF(BC99&gt;0,BD99,0)*healthcare!$B$3)*12*Q99</f>
        <v/>
      </c>
      <c r="BF99" s="15">
        <f>IF(BC99&gt;0,(BC99+BD99)*healthcare!$B$4*Q99,0)</f>
        <v/>
      </c>
      <c r="BG99" s="12">
        <f>(B99&gt;=65)+(C99&gt;=65)</f>
        <v/>
      </c>
      <c r="BH99" s="15">
        <f>BG99*(healthcare!$B$6+healthcare!$B$7+healthcare!$B$8)*12*Q99</f>
        <v/>
      </c>
      <c r="BI99" s="15">
        <f>BG99*healthcare!$B$9*Q99</f>
        <v/>
      </c>
      <c r="BJ99" s="15">
        <f>BG99*12*O99*SUMPRODUCT((DK97&gt;tax_tables!$Q$5:$Q$9*P99)*tax_tables!$T$5:$T$9)</f>
        <v/>
      </c>
      <c r="BK99" s="12">
        <f>AND(B99&gt;=$B$51,B99&lt;$B$51+$B$52)*1+AND(C99&gt;=$B$53,C99&lt;$B$53+$B$54)*1</f>
        <v/>
      </c>
      <c r="BL99" s="15">
        <f>BK99*$B$55*S99</f>
        <v/>
      </c>
      <c r="BM99" s="15">
        <f>BB99+BE99+BF99+BH99+BI99+BJ99+BL99</f>
        <v/>
      </c>
      <c r="BN99" s="15">
        <f>BP98</f>
        <v/>
      </c>
      <c r="BO99" s="15">
        <f>IF(V99=1,0,MIN(BN99*(1+M99),BF99+BG99*(healthcare!$B$6+healthcare!$B$7)*12*Q99+BI99+BJ99+BL99))</f>
        <v/>
      </c>
      <c r="BP99" s="15">
        <f>BN99*(1+M99)-BO99+AC99-CV99</f>
        <v/>
      </c>
      <c r="BQ99" s="15">
        <f>SUMPRODUCT((1-($B$76:$B$79&gt;0)*(A99&gt;=$B$76:$B$79))*(1-(($C$76:$C$79&gt;0)*(A99&gt;=$C$76:$C$79)))*(properties!$L$3:$L$6-properties!$M$3:$M$6))*O99+SUMPRODUCT((1-($B$76:$B$79&gt;0)*(A99&gt;=$B$76:$B$79))*(($C$76:$C$79&gt;0)*(A99&gt;=$C$76:$C$79))*($D$76:$D$79-$E$76:$E$79))*O99</f>
        <v/>
      </c>
      <c r="BR99" s="15">
        <f>SUMPRODUCT((1-($B$76:$B$79&gt;0)*(A99&gt;=$B$76:$B$79))*properties!$N$3:$N$6*(A99&lt;=properties!$O$3:$O$6))</f>
        <v/>
      </c>
      <c r="BS99" s="15">
        <f>MAX(0,BQ99-BR99)</f>
        <v/>
      </c>
      <c r="BT99" s="15">
        <f>SUMPRODUCT(($B$75:$B$79=A99)*$G$75:$G$79)</f>
        <v/>
      </c>
      <c r="BU99" s="15">
        <f>SUMPRODUCT(($B$75:$B$79=A99)*$H$75:$H$79)</f>
        <v/>
      </c>
      <c r="BV99" s="15">
        <f>SUMPRODUCT(($B$75:$B$79=A99)*$I$75:$I$79)</f>
        <v/>
      </c>
      <c r="BW99" s="15">
        <f>AL99*properties!$C$2*(1+properties!$D$2)^(A99-household!$B$4+1)</f>
        <v/>
      </c>
      <c r="BX99" s="15">
        <f>SUMPRODUCT((1-($B$76:$B$79&gt;0)*(A99&gt;=$B$76:$B$79))*properties!$C$3:$C$6*(1+properties!$D$3:$D$6)^(A99-household!$B$4+1))</f>
        <v/>
      </c>
      <c r="BY99" s="15">
        <f>IF(A99&gt;=$B$31,IF(A99&gt;=$B$32,MAX(household!$B$11*12*(1-$B$28)*O99*IF(A99&gt;=$B$30,1-$B$29,1)*$B$33,0.5*household!$B$12*12*(1-$B$28)*O99*IF(A99&gt;=$B$30,1-$B$29,1)*$B$35),household!$B$11*12*(1-$B$28)*O99*IF(A99&gt;=$B$30,1-$B$29,1)*$B$33),0)</f>
        <v/>
      </c>
      <c r="BZ99" s="15">
        <f>IF(A99&gt;=$B$32,IF(A99&gt;=$B$31,MAX(household!$B$12*12*(1-$B$28)*O99*IF(A99&gt;=$B$30,1-$B$29,1)*$B$34,0.5*household!$B$11*12*(1-$B$28)*O99*IF(A99&gt;=$B$30,1-$B$29,1)*$B$36),household!$B$12*12*(1-$B$28)*O99*IF(A99&gt;=$B$30,1-$B$29,1)*$B$34),0)</f>
        <v/>
      </c>
      <c r="CA99" s="15">
        <f>IF(AND($B$43&lt;&gt;0,A99&gt;=household!$B$6+$B$44),$B$43*(1+$B$18)^(MAX(household!$B$6+$B$44,household!$B$4-1)-household!$B$4+1)*(1+$B$47*$B$18)^(A99-MAX(household!$B$6+$B$44,household!$B$4-1)),0)</f>
        <v/>
      </c>
      <c r="CB99" s="15">
        <f>IF(AND($B$45&lt;&gt;0,A99&gt;=household!$B$9+$B$46),$B$45*(1+$B$18)^(MAX(household!$B$9+$B$46,household!$B$4-1)-household!$B$4+1)*(1+$B$47*$B$18)^(A99-MAX(household!$B$9+$B$46,household!$B$4-1)),0)</f>
        <v/>
      </c>
      <c r="CC99" s="15">
        <f>DC98</f>
        <v/>
      </c>
      <c r="CD99" s="15">
        <f>DD98</f>
        <v/>
      </c>
      <c r="CE99" s="15">
        <f>$B$20*CC99</f>
        <v/>
      </c>
      <c r="CF99" s="15">
        <f>DE98</f>
        <v/>
      </c>
      <c r="CG99" s="15">
        <f>DF98</f>
        <v/>
      </c>
      <c r="CH99" s="15">
        <f>IF(B99&gt;=$B$71,MAX(0,CF99)/INDEX(tax_tables!$Z$5:$Z$53,MATCH(B99,tax_tables!$Y$5:$Y$53,0)),0)</f>
        <v/>
      </c>
      <c r="CI99" s="15">
        <f>IF(C99&gt;=$B$72,MAX(0,CG99)/INDEX(tax_tables!$Z$5:$Z$53,MATCH(C99,tax_tables!$Y$5:$Y$53,0)),0)</f>
        <v/>
      </c>
      <c r="CJ99" s="15">
        <f>DG98</f>
        <v/>
      </c>
      <c r="CK99" s="15">
        <f>IF(OR($B$59="",$B$60=""),0,IF(AND(A99&gt;=$B$59,A99&lt;=$B$60),$B$58*O99,0))</f>
        <v/>
      </c>
      <c r="CL99" s="15">
        <f>MAX(0,CF99*(1+M99)-CH99)</f>
        <v/>
      </c>
      <c r="CM99" s="15">
        <f>MAX(0,CG99*(1+M99)-CI99)</f>
        <v/>
      </c>
      <c r="CN99" s="15">
        <f>EB98-AG98</f>
        <v/>
      </c>
      <c r="CO99" s="15">
        <f>AH99+F99+CA99+CB99+BQ99+CE99+CH99+CI99+BT99+AI99+AJ99+BO99</f>
        <v/>
      </c>
      <c r="CP99" s="15">
        <f>D99+CN99-CO99</f>
        <v/>
      </c>
      <c r="CQ99" s="15">
        <f>MAX(0,MIN(CP99,CC99*(1+M99-$B$20)))</f>
        <v/>
      </c>
      <c r="CR99" s="15">
        <f>MAX(0,MIN(CP99-CQ99,CL99+CM99))</f>
        <v/>
      </c>
      <c r="CS99" s="15">
        <f>IF(CL99+CM99&gt;1,CR99*CL99/(CL99+CM99),0)</f>
        <v/>
      </c>
      <c r="CT99" s="15">
        <f>CR99-CS99</f>
        <v/>
      </c>
      <c r="CU99" s="15">
        <f>MAX(0,MIN(CP99-CQ99-CR99,CJ99*(1+M99)))</f>
        <v/>
      </c>
      <c r="CV99" s="15">
        <f>MAX(0,MIN(CP99-CQ99-CR99-CU99,BN99*(1+M99)-BO99+AC99))</f>
        <v/>
      </c>
      <c r="CW99" s="15">
        <f>MAX(0,-CP99)</f>
        <v/>
      </c>
      <c r="CX99" s="15">
        <f>MIN(CK99,CL99-CS99+CM99-CT99)</f>
        <v/>
      </c>
      <c r="CY99" s="15">
        <f>IF(CL99-CS99+CM99-CT99&gt;1,CX99*(CL99-CS99)/(CL99-CS99+CM99-CT99),0)</f>
        <v/>
      </c>
      <c r="CZ99" s="15">
        <f>CX99-CY99</f>
        <v/>
      </c>
      <c r="DA99" s="22">
        <f>IF(CC99&gt;0,MAX(0,1-CD99/CC99),0)</f>
        <v/>
      </c>
      <c r="DB99" s="15">
        <f>CQ99*DA99</f>
        <v/>
      </c>
      <c r="DC99" s="15">
        <f>CC99*(1+M99-$B$20)-CQ99+CW99</f>
        <v/>
      </c>
      <c r="DD99" s="15">
        <f>CD99-(CQ99-DB99)+CW99</f>
        <v/>
      </c>
      <c r="DE99" s="15">
        <f>CF99*(1+M99)-CH99-CS99-CY99+Y99+AA99</f>
        <v/>
      </c>
      <c r="DF99" s="15">
        <f>CG99*(1+M99)-CI99-CT99-CZ99+Z99+AB99</f>
        <v/>
      </c>
      <c r="DG99" s="15">
        <f>CJ99*(1+M99)-CU99+CX99</f>
        <v/>
      </c>
      <c r="DH99" s="15">
        <f>AE99+CR99+CH99+CI99+CX99+CV99+BS99+AI99+CA99+CB99</f>
        <v/>
      </c>
      <c r="DI99" s="15">
        <f>CE99+DB99+BU99</f>
        <v/>
      </c>
      <c r="DJ99" s="15">
        <f>IF((DH99+DI99+0.5*F99)&lt;=tax_tables!$B$14,0,IF((DH99+DI99+0.5*F99)&lt;=tax_tables!$B$15,MIN(0.5*F99,0.5*((DH99+DI99+0.5*F99)-tax_tables!$B$14)),MIN(0.85*F99,0.85*((DH99+DI99+0.5*F99)-tax_tables!$B$15)+MIN(0.5*F99,tax_tables!$B$15-tax_tables!$B$14))))</f>
        <v/>
      </c>
      <c r="DK99" s="15">
        <f>DH99+DI99+DJ99</f>
        <v/>
      </c>
      <c r="DL99" s="12">
        <f>(B99&gt;=65)+(C99&gt;=65)</f>
        <v/>
      </c>
      <c r="DM99" s="15">
        <f>(tax_tables!$B$5+tax_tables!$B$6*DL99)*P99</f>
        <v/>
      </c>
      <c r="DN99" s="15">
        <f>IF(AND(A99&gt;=tax_tables!$B$8,A99&lt;=tax_tables!$B$9),DL99*MAX(0,tax_tables!$B$7-tax_tables!$B$11*MAX(0,DK99-tax_tables!$B$10)),0)</f>
        <v/>
      </c>
      <c r="DO99" s="15">
        <f>IFERROR(MAX(tax_tables!$B$16,INDEX(tax_tables!$W$5:$W$8,MATCH(A99,tax_tables!$V$5:$V$8,0))-tax_tables!$B$18*MAX(0,DK99-tax_tables!$B$17*1.01^(A99-tax_tables!$B$4))),tax_tables!$B$16)</f>
        <v/>
      </c>
      <c r="DP99" s="15">
        <f>MAX(0,BM99-BB99-tax_tables!$B$23*DK99)</f>
        <v/>
      </c>
      <c r="DQ99" s="15">
        <f>AN99+MIN(DO99,DY98+DZ98+EA98+AL99*properties!$H$2*O99)+DP99+$B$61*O99</f>
        <v/>
      </c>
      <c r="DR99" s="15">
        <f>MAX(DM99,DQ99)</f>
        <v/>
      </c>
      <c r="DS99" s="15">
        <f>MAX(0,DH99+DJ99-DR99-DN99)</f>
        <v/>
      </c>
      <c r="DT99" s="15">
        <f>MAX(0,DI99-MAX(0,DR99+DN99-DH99-DJ99))</f>
        <v/>
      </c>
      <c r="DU99" s="15">
        <f>SUMPRODUCT((DS99&gt;tax_tables!$E$5:$E$16*P99)*(DS99-tax_tables!$E$5:$E$16*P99)*tax_tables!$G$5:$G$16)+SUMPRODUCT(((DS99+DT99)&gt;tax_tables!$I$5:$I$16*P99)*((DS99+DT99)-tax_tables!$I$5:$I$16*P99)*tax_tables!$K$5:$K$16)-SUMPRODUCT((DS99&gt;tax_tables!$I$5:$I$16*P99)*(DS99-tax_tables!$I$5:$I$16*P99)*tax_tables!$K$5:$K$16)+tax_tables!$B$19*BV99+tax_tables!$B$12*MIN(CE99+DB99+BS99+BU99,MAX(0,DK99-tax_tables!$B$13))</f>
        <v/>
      </c>
      <c r="DV99" s="12">
        <f>IF($B$39="",0,IF(A99&gt;=$B$39,1,0))</f>
        <v/>
      </c>
      <c r="DW99" s="15">
        <f>IF(B99+0.5&gt;=tax_tables!$B$30,MIN(CS99+CH99+CY99+CA99,tax_tables!$B$29),0)+IF(C99+0.5&gt;=tax_tables!$B$30,MIN(CT99+CI99+CZ99+CB99,tax_tables!$B$29),0)</f>
        <v/>
      </c>
      <c r="DX99" s="15">
        <f>MAX(0,DK99-tax_tables!$B$28*DJ99-DW99-tax_tables!$B$26*IF(tax_tables!$B$27=1,P99,1))</f>
        <v/>
      </c>
      <c r="DY99" s="15">
        <f>(1-DV99)*SUMPRODUCT((DX99&gt;tax_tables!$M$5:$M$16*IF(tax_tables!$B$27=1,P99,1))*(DX99-tax_tables!$M$5:$M$16*IF(tax_tables!$B$27=1,P99,1))*tax_tables!$O$5:$O$16)</f>
        <v/>
      </c>
      <c r="DZ99" s="15">
        <f>(1-DV99)*tax_tables!$B$31*DX99</f>
        <v/>
      </c>
      <c r="EA99" s="15">
        <f>DV99*$B$40*MAX(0,DK99-DJ99)</f>
        <v/>
      </c>
      <c r="EB99" s="15">
        <f>DU99+DY99+DZ99+EA99</f>
        <v/>
      </c>
      <c r="EC99" s="15">
        <f>DC99+DE99+DF99+DG99+BP99</f>
        <v/>
      </c>
      <c r="ED99" s="15">
        <f>EC99+BW99-AP99+BX99</f>
        <v/>
      </c>
    </row>
    <row r="100">
      <c r="A100" s="12">
        <f>A99+1</f>
        <v/>
      </c>
      <c r="B100" s="12">
        <f>A100-household!$B$6</f>
        <v/>
      </c>
      <c r="C100" s="12">
        <f>A100-household!$B$9</f>
        <v/>
      </c>
      <c r="D100" s="15">
        <f>AS100+AT100+AU100+AV100+AZ100+BM100+AK100</f>
        <v/>
      </c>
      <c r="E100" s="15">
        <f>CN100+AG100+AF100</f>
        <v/>
      </c>
      <c r="F100" s="15">
        <f>BY100+BZ100</f>
        <v/>
      </c>
      <c r="G100" s="15">
        <f>CQ100+CR100+CU100+CH100+CI100+CE100-CW100+CV100+BO100</f>
        <v/>
      </c>
      <c r="H100" s="22">
        <f>IF(CC100+CF100+CG100+CJ100+BN100&lt;=0,"",G100/(CC100+CF100+CG100+CJ100+BN100))</f>
        <v/>
      </c>
      <c r="I100" s="23">
        <f>EC100/O100</f>
        <v/>
      </c>
      <c r="J100" s="23">
        <f>ED100/O100</f>
        <v/>
      </c>
      <c r="K100" s="15">
        <f>MAX(0,CP100-CQ100-CR100-CU100-CV100)</f>
        <v/>
      </c>
      <c r="L100" s="11" t="n"/>
      <c r="M100" s="22">
        <f>IF(L100="",$B$19,L100)</f>
        <v/>
      </c>
      <c r="N100" s="14" t="n"/>
      <c r="O100" s="13">
        <f>(1+$B$18)^(A100-household!$B$4+1)</f>
        <v/>
      </c>
      <c r="P100" s="13">
        <f>(1+$B$18)^(A100-tax_tables!$B$4)</f>
        <v/>
      </c>
      <c r="Q100" s="13">
        <f>(1+$B$21)^(A100-household!$B$4+1)</f>
        <v/>
      </c>
      <c r="R100" s="13">
        <f>(1+$B$22)^(A100-household!$B$4+1)</f>
        <v/>
      </c>
      <c r="S100" s="13">
        <f>(1+$B$23)^(A100-household!$B$4+1)</f>
        <v/>
      </c>
      <c r="T100" s="12">
        <f>IF(A100&lt;$B$5,1,0)</f>
        <v/>
      </c>
      <c r="U100" s="12">
        <f>IF(A100&lt;$B$6,1,0)</f>
        <v/>
      </c>
      <c r="V100" s="12">
        <f>IF(T100+U100&gt;0,1,0)</f>
        <v/>
      </c>
      <c r="W100" s="15">
        <f>T100*$B$7*O100+SUMPRODUCT(($B$83:$B$88=A100)*($D$83:$D$88="Wages: person 1")*$C$83:$C$88)*O100</f>
        <v/>
      </c>
      <c r="X100" s="15">
        <f>U100*$B$8*O100+SUMPRODUCT(($B$83:$B$88=A100)*($D$83:$D$88="Wages: person 2")*$C$83:$C$88)*O100</f>
        <v/>
      </c>
      <c r="Y100" s="15">
        <f>T100*$B$9*O100</f>
        <v/>
      </c>
      <c r="Z100" s="15">
        <f>U100*$B$10*O100</f>
        <v/>
      </c>
      <c r="AA100" s="15">
        <f>T100*$B$11*O100</f>
        <v/>
      </c>
      <c r="AB100" s="15">
        <f>U100*$B$12*O100</f>
        <v/>
      </c>
      <c r="AC100" s="15">
        <f>V100*$B$13*O100</f>
        <v/>
      </c>
      <c r="AD100" s="15">
        <f>W100+X100</f>
        <v/>
      </c>
      <c r="AE100" s="15">
        <f>AD100-Y100-Z100-AC100</f>
        <v/>
      </c>
      <c r="AF100" s="15">
        <f>0.062*MIN(W100,tax_tables!$B$21*P100)+0.062*MIN(X100,tax_tables!$B$21*P100)+0.0145*AD100+0.009*MAX(0,AD100-tax_tables!$B$22)</f>
        <v/>
      </c>
      <c r="AG100" s="15">
        <f>$B$14*AE100</f>
        <v/>
      </c>
      <c r="AH100" s="15">
        <f>AD100-Y100-Z100-AC100-AF100-AG100</f>
        <v/>
      </c>
      <c r="AI100" s="15">
        <f>SUMPRODUCT(($B$83:$B$88=A100)*($D$83:$D$88="Other taxable income")*$C$83:$C$88)*O100</f>
        <v/>
      </c>
      <c r="AJ100" s="15">
        <f>SUMPRODUCT(($B$83:$B$88=A100)*($D$83:$D$88="Tax-free money in")*$C$83:$C$88)*O100</f>
        <v/>
      </c>
      <c r="AK100" s="15">
        <f>SUMPRODUCT(($B$83:$B$88=A100)*($D$83:$D$88="Expense")*$C$83:$C$88)*O100</f>
        <v/>
      </c>
      <c r="AL100" s="12">
        <f>IF(OR($B$75="",A100&lt;$B$75),1,0)</f>
        <v/>
      </c>
      <c r="AM100" s="15">
        <f>AP99</f>
        <v/>
      </c>
      <c r="AN100" s="15">
        <f>AL100*AM100*properties!$J$2</f>
        <v/>
      </c>
      <c r="AO100" s="15">
        <f>AL100*MIN(properties!$K$2,AM100+AN100)</f>
        <v/>
      </c>
      <c r="AP100" s="15">
        <f>AL100*(AM100+AN100-AO100)</f>
        <v/>
      </c>
      <c r="AQ100" s="15">
        <f>AL100*properties!$G$2*O100</f>
        <v/>
      </c>
      <c r="AR100" s="15">
        <f>(1-AL100)*$E$75*O100</f>
        <v/>
      </c>
      <c r="AS100" s="15">
        <f>AO100+AQ100+AR100</f>
        <v/>
      </c>
      <c r="AT100" s="15">
        <f>SUMIF(budget!$A$2:$A$300,"household",budget!$F$2:$F$300)*O100*IF(N100="",1,N100)</f>
        <v/>
      </c>
      <c r="AU100" s="15">
        <f>SUMPRODUCT((other_budget!$C$2:$C$30&lt;=A100)*(other_budget!$D$2:$D$30&gt;=A100)*other_budget!$B$2:$B$30)*O100</f>
        <v/>
      </c>
      <c r="AV100" s="15">
        <f>SUMPRODUCT((kids_budget!$D$2:$D$40&lt;=A100)*(kids_budget!$E$2:$E$40&gt;=A100)*(kids_budget!$G$2:$G$40&lt;&gt;"college_funds")*kids_budget!$C$2:$C$40*((kids_budget!$F$2:$F$40="college")*R100+(kids_budget!$F$2:$F$40&lt;&gt;"college")*O100))</f>
        <v/>
      </c>
      <c r="AW100" s="15">
        <f>SUMPRODUCT((kids_budget!$D$2:$D$40&lt;=A100)*(kids_budget!$E$2:$E$40&gt;=A100)*(kids_budget!$G$2:$G$40="college_funds")*kids_budget!$C$2:$C$40*((kids_budget!$F$2:$F$40="college")*R100+(kids_budget!$F$2:$F$40&lt;&gt;"college")*O100))</f>
        <v/>
      </c>
      <c r="AX100" s="15">
        <f>BA99</f>
        <v/>
      </c>
      <c r="AY100" s="15">
        <f>MIN(AW100,AX100*(1+M100))</f>
        <v/>
      </c>
      <c r="AZ100" s="15">
        <f>AW100-AY100</f>
        <v/>
      </c>
      <c r="BA100" s="15">
        <f>AX100*(1+M100)-AY100</f>
        <v/>
      </c>
      <c r="BB100" s="15">
        <f>V100*healthcare!$B$5*Q100</f>
        <v/>
      </c>
      <c r="BC100" s="12">
        <f>(1-V100)*((B100&lt;65)+(C100&lt;65))</f>
        <v/>
      </c>
      <c r="BD100" s="12">
        <f>COUNTIF(household!$C$16:$C$23,"&gt;="&amp;A100)</f>
        <v/>
      </c>
      <c r="BE100" s="15">
        <f>(BC100*healthcare!$B$2+IF(BC100&gt;0,BD100,0)*healthcare!$B$3)*12*Q100</f>
        <v/>
      </c>
      <c r="BF100" s="15">
        <f>IF(BC100&gt;0,(BC100+BD100)*healthcare!$B$4*Q100,0)</f>
        <v/>
      </c>
      <c r="BG100" s="12">
        <f>(B100&gt;=65)+(C100&gt;=65)</f>
        <v/>
      </c>
      <c r="BH100" s="15">
        <f>BG100*(healthcare!$B$6+healthcare!$B$7+healthcare!$B$8)*12*Q100</f>
        <v/>
      </c>
      <c r="BI100" s="15">
        <f>BG100*healthcare!$B$9*Q100</f>
        <v/>
      </c>
      <c r="BJ100" s="15">
        <f>BG100*12*O100*SUMPRODUCT((DK98&gt;tax_tables!$Q$5:$Q$9*P100)*tax_tables!$T$5:$T$9)</f>
        <v/>
      </c>
      <c r="BK100" s="12">
        <f>AND(B100&gt;=$B$51,B100&lt;$B$51+$B$52)*1+AND(C100&gt;=$B$53,C100&lt;$B$53+$B$54)*1</f>
        <v/>
      </c>
      <c r="BL100" s="15">
        <f>BK100*$B$55*S100</f>
        <v/>
      </c>
      <c r="BM100" s="15">
        <f>BB100+BE100+BF100+BH100+BI100+BJ100+BL100</f>
        <v/>
      </c>
      <c r="BN100" s="15">
        <f>BP99</f>
        <v/>
      </c>
      <c r="BO100" s="15">
        <f>IF(V100=1,0,MIN(BN100*(1+M100),BF100+BG100*(healthcare!$B$6+healthcare!$B$7)*12*Q100+BI100+BJ100+BL100))</f>
        <v/>
      </c>
      <c r="BP100" s="15">
        <f>BN100*(1+M100)-BO100+AC100-CV100</f>
        <v/>
      </c>
      <c r="BQ100" s="15">
        <f>SUMPRODUCT((1-($B$76:$B$79&gt;0)*(A100&gt;=$B$76:$B$79))*(1-(($C$76:$C$79&gt;0)*(A100&gt;=$C$76:$C$79)))*(properties!$L$3:$L$6-properties!$M$3:$M$6))*O100+SUMPRODUCT((1-($B$76:$B$79&gt;0)*(A100&gt;=$B$76:$B$79))*(($C$76:$C$79&gt;0)*(A100&gt;=$C$76:$C$79))*($D$76:$D$79-$E$76:$E$79))*O100</f>
        <v/>
      </c>
      <c r="BR100" s="15">
        <f>SUMPRODUCT((1-($B$76:$B$79&gt;0)*(A100&gt;=$B$76:$B$79))*properties!$N$3:$N$6*(A100&lt;=properties!$O$3:$O$6))</f>
        <v/>
      </c>
      <c r="BS100" s="15">
        <f>MAX(0,BQ100-BR100)</f>
        <v/>
      </c>
      <c r="BT100" s="15">
        <f>SUMPRODUCT(($B$75:$B$79=A100)*$G$75:$G$79)</f>
        <v/>
      </c>
      <c r="BU100" s="15">
        <f>SUMPRODUCT(($B$75:$B$79=A100)*$H$75:$H$79)</f>
        <v/>
      </c>
      <c r="BV100" s="15">
        <f>SUMPRODUCT(($B$75:$B$79=A100)*$I$75:$I$79)</f>
        <v/>
      </c>
      <c r="BW100" s="15">
        <f>AL100*properties!$C$2*(1+properties!$D$2)^(A100-household!$B$4+1)</f>
        <v/>
      </c>
      <c r="BX100" s="15">
        <f>SUMPRODUCT((1-($B$76:$B$79&gt;0)*(A100&gt;=$B$76:$B$79))*properties!$C$3:$C$6*(1+properties!$D$3:$D$6)^(A100-household!$B$4+1))</f>
        <v/>
      </c>
      <c r="BY100" s="15">
        <f>IF(A100&gt;=$B$31,IF(A100&gt;=$B$32,MAX(household!$B$11*12*(1-$B$28)*O100*IF(A100&gt;=$B$30,1-$B$29,1)*$B$33,0.5*household!$B$12*12*(1-$B$28)*O100*IF(A100&gt;=$B$30,1-$B$29,1)*$B$35),household!$B$11*12*(1-$B$28)*O100*IF(A100&gt;=$B$30,1-$B$29,1)*$B$33),0)</f>
        <v/>
      </c>
      <c r="BZ100" s="15">
        <f>IF(A100&gt;=$B$32,IF(A100&gt;=$B$31,MAX(household!$B$12*12*(1-$B$28)*O100*IF(A100&gt;=$B$30,1-$B$29,1)*$B$34,0.5*household!$B$11*12*(1-$B$28)*O100*IF(A100&gt;=$B$30,1-$B$29,1)*$B$36),household!$B$12*12*(1-$B$28)*O100*IF(A100&gt;=$B$30,1-$B$29,1)*$B$34),0)</f>
        <v/>
      </c>
      <c r="CA100" s="15">
        <f>IF(AND($B$43&lt;&gt;0,A100&gt;=household!$B$6+$B$44),$B$43*(1+$B$18)^(MAX(household!$B$6+$B$44,household!$B$4-1)-household!$B$4+1)*(1+$B$47*$B$18)^(A100-MAX(household!$B$6+$B$44,household!$B$4-1)),0)</f>
        <v/>
      </c>
      <c r="CB100" s="15">
        <f>IF(AND($B$45&lt;&gt;0,A100&gt;=household!$B$9+$B$46),$B$45*(1+$B$18)^(MAX(household!$B$9+$B$46,household!$B$4-1)-household!$B$4+1)*(1+$B$47*$B$18)^(A100-MAX(household!$B$9+$B$46,household!$B$4-1)),0)</f>
        <v/>
      </c>
      <c r="CC100" s="15">
        <f>DC99</f>
        <v/>
      </c>
      <c r="CD100" s="15">
        <f>DD99</f>
        <v/>
      </c>
      <c r="CE100" s="15">
        <f>$B$20*CC100</f>
        <v/>
      </c>
      <c r="CF100" s="15">
        <f>DE99</f>
        <v/>
      </c>
      <c r="CG100" s="15">
        <f>DF99</f>
        <v/>
      </c>
      <c r="CH100" s="15">
        <f>IF(B100&gt;=$B$71,MAX(0,CF100)/INDEX(tax_tables!$Z$5:$Z$53,MATCH(B100,tax_tables!$Y$5:$Y$53,0)),0)</f>
        <v/>
      </c>
      <c r="CI100" s="15">
        <f>IF(C100&gt;=$B$72,MAX(0,CG100)/INDEX(tax_tables!$Z$5:$Z$53,MATCH(C100,tax_tables!$Y$5:$Y$53,0)),0)</f>
        <v/>
      </c>
      <c r="CJ100" s="15">
        <f>DG99</f>
        <v/>
      </c>
      <c r="CK100" s="15">
        <f>IF(OR($B$59="",$B$60=""),0,IF(AND(A100&gt;=$B$59,A100&lt;=$B$60),$B$58*O100,0))</f>
        <v/>
      </c>
      <c r="CL100" s="15">
        <f>MAX(0,CF100*(1+M100)-CH100)</f>
        <v/>
      </c>
      <c r="CM100" s="15">
        <f>MAX(0,CG100*(1+M100)-CI100)</f>
        <v/>
      </c>
      <c r="CN100" s="15">
        <f>EB99-AG99</f>
        <v/>
      </c>
      <c r="CO100" s="15">
        <f>AH100+F100+CA100+CB100+BQ100+CE100+CH100+CI100+BT100+AI100+AJ100+BO100</f>
        <v/>
      </c>
      <c r="CP100" s="15">
        <f>D100+CN100-CO100</f>
        <v/>
      </c>
      <c r="CQ100" s="15">
        <f>MAX(0,MIN(CP100,CC100*(1+M100-$B$20)))</f>
        <v/>
      </c>
      <c r="CR100" s="15">
        <f>MAX(0,MIN(CP100-CQ100,CL100+CM100))</f>
        <v/>
      </c>
      <c r="CS100" s="15">
        <f>IF(CL100+CM100&gt;1,CR100*CL100/(CL100+CM100),0)</f>
        <v/>
      </c>
      <c r="CT100" s="15">
        <f>CR100-CS100</f>
        <v/>
      </c>
      <c r="CU100" s="15">
        <f>MAX(0,MIN(CP100-CQ100-CR100,CJ100*(1+M100)))</f>
        <v/>
      </c>
      <c r="CV100" s="15">
        <f>MAX(0,MIN(CP100-CQ100-CR100-CU100,BN100*(1+M100)-BO100+AC100))</f>
        <v/>
      </c>
      <c r="CW100" s="15">
        <f>MAX(0,-CP100)</f>
        <v/>
      </c>
      <c r="CX100" s="15">
        <f>MIN(CK100,CL100-CS100+CM100-CT100)</f>
        <v/>
      </c>
      <c r="CY100" s="15">
        <f>IF(CL100-CS100+CM100-CT100&gt;1,CX100*(CL100-CS100)/(CL100-CS100+CM100-CT100),0)</f>
        <v/>
      </c>
      <c r="CZ100" s="15">
        <f>CX100-CY100</f>
        <v/>
      </c>
      <c r="DA100" s="22">
        <f>IF(CC100&gt;0,MAX(0,1-CD100/CC100),0)</f>
        <v/>
      </c>
      <c r="DB100" s="15">
        <f>CQ100*DA100</f>
        <v/>
      </c>
      <c r="DC100" s="15">
        <f>CC100*(1+M100-$B$20)-CQ100+CW100</f>
        <v/>
      </c>
      <c r="DD100" s="15">
        <f>CD100-(CQ100-DB100)+CW100</f>
        <v/>
      </c>
      <c r="DE100" s="15">
        <f>CF100*(1+M100)-CH100-CS100-CY100+Y100+AA100</f>
        <v/>
      </c>
      <c r="DF100" s="15">
        <f>CG100*(1+M100)-CI100-CT100-CZ100+Z100+AB100</f>
        <v/>
      </c>
      <c r="DG100" s="15">
        <f>CJ100*(1+M100)-CU100+CX100</f>
        <v/>
      </c>
      <c r="DH100" s="15">
        <f>AE100+CR100+CH100+CI100+CX100+CV100+BS100+AI100+CA100+CB100</f>
        <v/>
      </c>
      <c r="DI100" s="15">
        <f>CE100+DB100+BU100</f>
        <v/>
      </c>
      <c r="DJ100" s="15">
        <f>IF((DH100+DI100+0.5*F100)&lt;=tax_tables!$B$14,0,IF((DH100+DI100+0.5*F100)&lt;=tax_tables!$B$15,MIN(0.5*F100,0.5*((DH100+DI100+0.5*F100)-tax_tables!$B$14)),MIN(0.85*F100,0.85*((DH100+DI100+0.5*F100)-tax_tables!$B$15)+MIN(0.5*F100,tax_tables!$B$15-tax_tables!$B$14))))</f>
        <v/>
      </c>
      <c r="DK100" s="15">
        <f>DH100+DI100+DJ100</f>
        <v/>
      </c>
      <c r="DL100" s="12">
        <f>(B100&gt;=65)+(C100&gt;=65)</f>
        <v/>
      </c>
      <c r="DM100" s="15">
        <f>(tax_tables!$B$5+tax_tables!$B$6*DL100)*P100</f>
        <v/>
      </c>
      <c r="DN100" s="15">
        <f>IF(AND(A100&gt;=tax_tables!$B$8,A100&lt;=tax_tables!$B$9),DL100*MAX(0,tax_tables!$B$7-tax_tables!$B$11*MAX(0,DK100-tax_tables!$B$10)),0)</f>
        <v/>
      </c>
      <c r="DO100" s="15">
        <f>IFERROR(MAX(tax_tables!$B$16,INDEX(tax_tables!$W$5:$W$8,MATCH(A100,tax_tables!$V$5:$V$8,0))-tax_tables!$B$18*MAX(0,DK100-tax_tables!$B$17*1.01^(A100-tax_tables!$B$4))),tax_tables!$B$16)</f>
        <v/>
      </c>
      <c r="DP100" s="15">
        <f>MAX(0,BM100-BB100-tax_tables!$B$23*DK100)</f>
        <v/>
      </c>
      <c r="DQ100" s="15">
        <f>AN100+MIN(DO100,DY99+DZ99+EA99+AL100*properties!$H$2*O100)+DP100+$B$61*O100</f>
        <v/>
      </c>
      <c r="DR100" s="15">
        <f>MAX(DM100,DQ100)</f>
        <v/>
      </c>
      <c r="DS100" s="15">
        <f>MAX(0,DH100+DJ100-DR100-DN100)</f>
        <v/>
      </c>
      <c r="DT100" s="15">
        <f>MAX(0,DI100-MAX(0,DR100+DN100-DH100-DJ100))</f>
        <v/>
      </c>
      <c r="DU100" s="15">
        <f>SUMPRODUCT((DS100&gt;tax_tables!$E$5:$E$16*P100)*(DS100-tax_tables!$E$5:$E$16*P100)*tax_tables!$G$5:$G$16)+SUMPRODUCT(((DS100+DT100)&gt;tax_tables!$I$5:$I$16*P100)*((DS100+DT100)-tax_tables!$I$5:$I$16*P100)*tax_tables!$K$5:$K$16)-SUMPRODUCT((DS100&gt;tax_tables!$I$5:$I$16*P100)*(DS100-tax_tables!$I$5:$I$16*P100)*tax_tables!$K$5:$K$16)+tax_tables!$B$19*BV100+tax_tables!$B$12*MIN(CE100+DB100+BS100+BU100,MAX(0,DK100-tax_tables!$B$13))</f>
        <v/>
      </c>
      <c r="DV100" s="12">
        <f>IF($B$39="",0,IF(A100&gt;=$B$39,1,0))</f>
        <v/>
      </c>
      <c r="DW100" s="15">
        <f>IF(B100+0.5&gt;=tax_tables!$B$30,MIN(CS100+CH100+CY100+CA100,tax_tables!$B$29),0)+IF(C100+0.5&gt;=tax_tables!$B$30,MIN(CT100+CI100+CZ100+CB100,tax_tables!$B$29),0)</f>
        <v/>
      </c>
      <c r="DX100" s="15">
        <f>MAX(0,DK100-tax_tables!$B$28*DJ100-DW100-tax_tables!$B$26*IF(tax_tables!$B$27=1,P100,1))</f>
        <v/>
      </c>
      <c r="DY100" s="15">
        <f>(1-DV100)*SUMPRODUCT((DX100&gt;tax_tables!$M$5:$M$16*IF(tax_tables!$B$27=1,P100,1))*(DX100-tax_tables!$M$5:$M$16*IF(tax_tables!$B$27=1,P100,1))*tax_tables!$O$5:$O$16)</f>
        <v/>
      </c>
      <c r="DZ100" s="15">
        <f>(1-DV100)*tax_tables!$B$31*DX100</f>
        <v/>
      </c>
      <c r="EA100" s="15">
        <f>DV100*$B$40*MAX(0,DK100-DJ100)</f>
        <v/>
      </c>
      <c r="EB100" s="15">
        <f>DU100+DY100+DZ100+EA100</f>
        <v/>
      </c>
      <c r="EC100" s="15">
        <f>DC100+DE100+DF100+DG100+BP100</f>
        <v/>
      </c>
      <c r="ED100" s="15">
        <f>EC100+BW100-AP100+BX100</f>
        <v/>
      </c>
    </row>
    <row r="101">
      <c r="A101" s="12">
        <f>A100+1</f>
        <v/>
      </c>
      <c r="B101" s="12">
        <f>A101-household!$B$6</f>
        <v/>
      </c>
      <c r="C101" s="12">
        <f>A101-household!$B$9</f>
        <v/>
      </c>
      <c r="D101" s="15">
        <f>AS101+AT101+AU101+AV101+AZ101+BM101+AK101</f>
        <v/>
      </c>
      <c r="E101" s="15">
        <f>CN101+AG101+AF101</f>
        <v/>
      </c>
      <c r="F101" s="15">
        <f>BY101+BZ101</f>
        <v/>
      </c>
      <c r="G101" s="15">
        <f>CQ101+CR101+CU101+CH101+CI101+CE101-CW101+CV101+BO101</f>
        <v/>
      </c>
      <c r="H101" s="22">
        <f>IF(CC101+CF101+CG101+CJ101+BN101&lt;=0,"",G101/(CC101+CF101+CG101+CJ101+BN101))</f>
        <v/>
      </c>
      <c r="I101" s="23">
        <f>EC101/O101</f>
        <v/>
      </c>
      <c r="J101" s="23">
        <f>ED101/O101</f>
        <v/>
      </c>
      <c r="K101" s="15">
        <f>MAX(0,CP101-CQ101-CR101-CU101-CV101)</f>
        <v/>
      </c>
      <c r="L101" s="11" t="n"/>
      <c r="M101" s="22">
        <f>IF(L101="",$B$19,L101)</f>
        <v/>
      </c>
      <c r="N101" s="14" t="n"/>
      <c r="O101" s="13">
        <f>(1+$B$18)^(A101-household!$B$4+1)</f>
        <v/>
      </c>
      <c r="P101" s="13">
        <f>(1+$B$18)^(A101-tax_tables!$B$4)</f>
        <v/>
      </c>
      <c r="Q101" s="13">
        <f>(1+$B$21)^(A101-household!$B$4+1)</f>
        <v/>
      </c>
      <c r="R101" s="13">
        <f>(1+$B$22)^(A101-household!$B$4+1)</f>
        <v/>
      </c>
      <c r="S101" s="13">
        <f>(1+$B$23)^(A101-household!$B$4+1)</f>
        <v/>
      </c>
      <c r="T101" s="12">
        <f>IF(A101&lt;$B$5,1,0)</f>
        <v/>
      </c>
      <c r="U101" s="12">
        <f>IF(A101&lt;$B$6,1,0)</f>
        <v/>
      </c>
      <c r="V101" s="12">
        <f>IF(T101+U101&gt;0,1,0)</f>
        <v/>
      </c>
      <c r="W101" s="15">
        <f>T101*$B$7*O101+SUMPRODUCT(($B$83:$B$88=A101)*($D$83:$D$88="Wages: person 1")*$C$83:$C$88)*O101</f>
        <v/>
      </c>
      <c r="X101" s="15">
        <f>U101*$B$8*O101+SUMPRODUCT(($B$83:$B$88=A101)*($D$83:$D$88="Wages: person 2")*$C$83:$C$88)*O101</f>
        <v/>
      </c>
      <c r="Y101" s="15">
        <f>T101*$B$9*O101</f>
        <v/>
      </c>
      <c r="Z101" s="15">
        <f>U101*$B$10*O101</f>
        <v/>
      </c>
      <c r="AA101" s="15">
        <f>T101*$B$11*O101</f>
        <v/>
      </c>
      <c r="AB101" s="15">
        <f>U101*$B$12*O101</f>
        <v/>
      </c>
      <c r="AC101" s="15">
        <f>V101*$B$13*O101</f>
        <v/>
      </c>
      <c r="AD101" s="15">
        <f>W101+X101</f>
        <v/>
      </c>
      <c r="AE101" s="15">
        <f>AD101-Y101-Z101-AC101</f>
        <v/>
      </c>
      <c r="AF101" s="15">
        <f>0.062*MIN(W101,tax_tables!$B$21*P101)+0.062*MIN(X101,tax_tables!$B$21*P101)+0.0145*AD101+0.009*MAX(0,AD101-tax_tables!$B$22)</f>
        <v/>
      </c>
      <c r="AG101" s="15">
        <f>$B$14*AE101</f>
        <v/>
      </c>
      <c r="AH101" s="15">
        <f>AD101-Y101-Z101-AC101-AF101-AG101</f>
        <v/>
      </c>
      <c r="AI101" s="15">
        <f>SUMPRODUCT(($B$83:$B$88=A101)*($D$83:$D$88="Other taxable income")*$C$83:$C$88)*O101</f>
        <v/>
      </c>
      <c r="AJ101" s="15">
        <f>SUMPRODUCT(($B$83:$B$88=A101)*($D$83:$D$88="Tax-free money in")*$C$83:$C$88)*O101</f>
        <v/>
      </c>
      <c r="AK101" s="15">
        <f>SUMPRODUCT(($B$83:$B$88=A101)*($D$83:$D$88="Expense")*$C$83:$C$88)*O101</f>
        <v/>
      </c>
      <c r="AL101" s="12">
        <f>IF(OR($B$75="",A101&lt;$B$75),1,0)</f>
        <v/>
      </c>
      <c r="AM101" s="15">
        <f>AP100</f>
        <v/>
      </c>
      <c r="AN101" s="15">
        <f>AL101*AM101*properties!$J$2</f>
        <v/>
      </c>
      <c r="AO101" s="15">
        <f>AL101*MIN(properties!$K$2,AM101+AN101)</f>
        <v/>
      </c>
      <c r="AP101" s="15">
        <f>AL101*(AM101+AN101-AO101)</f>
        <v/>
      </c>
      <c r="AQ101" s="15">
        <f>AL101*properties!$G$2*O101</f>
        <v/>
      </c>
      <c r="AR101" s="15">
        <f>(1-AL101)*$E$75*O101</f>
        <v/>
      </c>
      <c r="AS101" s="15">
        <f>AO101+AQ101+AR101</f>
        <v/>
      </c>
      <c r="AT101" s="15">
        <f>SUMIF(budget!$A$2:$A$300,"household",budget!$F$2:$F$300)*O101*IF(N101="",1,N101)</f>
        <v/>
      </c>
      <c r="AU101" s="15">
        <f>SUMPRODUCT((other_budget!$C$2:$C$30&lt;=A101)*(other_budget!$D$2:$D$30&gt;=A101)*other_budget!$B$2:$B$30)*O101</f>
        <v/>
      </c>
      <c r="AV101" s="15">
        <f>SUMPRODUCT((kids_budget!$D$2:$D$40&lt;=A101)*(kids_budget!$E$2:$E$40&gt;=A101)*(kids_budget!$G$2:$G$40&lt;&gt;"college_funds")*kids_budget!$C$2:$C$40*((kids_budget!$F$2:$F$40="college")*R101+(kids_budget!$F$2:$F$40&lt;&gt;"college")*O101))</f>
        <v/>
      </c>
      <c r="AW101" s="15">
        <f>SUMPRODUCT((kids_budget!$D$2:$D$40&lt;=A101)*(kids_budget!$E$2:$E$40&gt;=A101)*(kids_budget!$G$2:$G$40="college_funds")*kids_budget!$C$2:$C$40*((kids_budget!$F$2:$F$40="college")*R101+(kids_budget!$F$2:$F$40&lt;&gt;"college")*O101))</f>
        <v/>
      </c>
      <c r="AX101" s="15">
        <f>BA100</f>
        <v/>
      </c>
      <c r="AY101" s="15">
        <f>MIN(AW101,AX101*(1+M101))</f>
        <v/>
      </c>
      <c r="AZ101" s="15">
        <f>AW101-AY101</f>
        <v/>
      </c>
      <c r="BA101" s="15">
        <f>AX101*(1+M101)-AY101</f>
        <v/>
      </c>
      <c r="BB101" s="15">
        <f>V101*healthcare!$B$5*Q101</f>
        <v/>
      </c>
      <c r="BC101" s="12">
        <f>(1-V101)*((B101&lt;65)+(C101&lt;65))</f>
        <v/>
      </c>
      <c r="BD101" s="12">
        <f>COUNTIF(household!$C$16:$C$23,"&gt;="&amp;A101)</f>
        <v/>
      </c>
      <c r="BE101" s="15">
        <f>(BC101*healthcare!$B$2+IF(BC101&gt;0,BD101,0)*healthcare!$B$3)*12*Q101</f>
        <v/>
      </c>
      <c r="BF101" s="15">
        <f>IF(BC101&gt;0,(BC101+BD101)*healthcare!$B$4*Q101,0)</f>
        <v/>
      </c>
      <c r="BG101" s="12">
        <f>(B101&gt;=65)+(C101&gt;=65)</f>
        <v/>
      </c>
      <c r="BH101" s="15">
        <f>BG101*(healthcare!$B$6+healthcare!$B$7+healthcare!$B$8)*12*Q101</f>
        <v/>
      </c>
      <c r="BI101" s="15">
        <f>BG101*healthcare!$B$9*Q101</f>
        <v/>
      </c>
      <c r="BJ101" s="15">
        <f>BG101*12*O101*SUMPRODUCT((DK99&gt;tax_tables!$Q$5:$Q$9*P101)*tax_tables!$T$5:$T$9)</f>
        <v/>
      </c>
      <c r="BK101" s="12">
        <f>AND(B101&gt;=$B$51,B101&lt;$B$51+$B$52)*1+AND(C101&gt;=$B$53,C101&lt;$B$53+$B$54)*1</f>
        <v/>
      </c>
      <c r="BL101" s="15">
        <f>BK101*$B$55*S101</f>
        <v/>
      </c>
      <c r="BM101" s="15">
        <f>BB101+BE101+BF101+BH101+BI101+BJ101+BL101</f>
        <v/>
      </c>
      <c r="BN101" s="15">
        <f>BP100</f>
        <v/>
      </c>
      <c r="BO101" s="15">
        <f>IF(V101=1,0,MIN(BN101*(1+M101),BF101+BG101*(healthcare!$B$6+healthcare!$B$7)*12*Q101+BI101+BJ101+BL101))</f>
        <v/>
      </c>
      <c r="BP101" s="15">
        <f>BN101*(1+M101)-BO101+AC101-CV101</f>
        <v/>
      </c>
      <c r="BQ101" s="15">
        <f>SUMPRODUCT((1-($B$76:$B$79&gt;0)*(A101&gt;=$B$76:$B$79))*(1-(($C$76:$C$79&gt;0)*(A101&gt;=$C$76:$C$79)))*(properties!$L$3:$L$6-properties!$M$3:$M$6))*O101+SUMPRODUCT((1-($B$76:$B$79&gt;0)*(A101&gt;=$B$76:$B$79))*(($C$76:$C$79&gt;0)*(A101&gt;=$C$76:$C$79))*($D$76:$D$79-$E$76:$E$79))*O101</f>
        <v/>
      </c>
      <c r="BR101" s="15">
        <f>SUMPRODUCT((1-($B$76:$B$79&gt;0)*(A101&gt;=$B$76:$B$79))*properties!$N$3:$N$6*(A101&lt;=properties!$O$3:$O$6))</f>
        <v/>
      </c>
      <c r="BS101" s="15">
        <f>MAX(0,BQ101-BR101)</f>
        <v/>
      </c>
      <c r="BT101" s="15">
        <f>SUMPRODUCT(($B$75:$B$79=A101)*$G$75:$G$79)</f>
        <v/>
      </c>
      <c r="BU101" s="15">
        <f>SUMPRODUCT(($B$75:$B$79=A101)*$H$75:$H$79)</f>
        <v/>
      </c>
      <c r="BV101" s="15">
        <f>SUMPRODUCT(($B$75:$B$79=A101)*$I$75:$I$79)</f>
        <v/>
      </c>
      <c r="BW101" s="15">
        <f>AL101*properties!$C$2*(1+properties!$D$2)^(A101-household!$B$4+1)</f>
        <v/>
      </c>
      <c r="BX101" s="15">
        <f>SUMPRODUCT((1-($B$76:$B$79&gt;0)*(A101&gt;=$B$76:$B$79))*properties!$C$3:$C$6*(1+properties!$D$3:$D$6)^(A101-household!$B$4+1))</f>
        <v/>
      </c>
      <c r="BY101" s="15">
        <f>IF(A101&gt;=$B$31,IF(A101&gt;=$B$32,MAX(household!$B$11*12*(1-$B$28)*O101*IF(A101&gt;=$B$30,1-$B$29,1)*$B$33,0.5*household!$B$12*12*(1-$B$28)*O101*IF(A101&gt;=$B$30,1-$B$29,1)*$B$35),household!$B$11*12*(1-$B$28)*O101*IF(A101&gt;=$B$30,1-$B$29,1)*$B$33),0)</f>
        <v/>
      </c>
      <c r="BZ101" s="15">
        <f>IF(A101&gt;=$B$32,IF(A101&gt;=$B$31,MAX(household!$B$12*12*(1-$B$28)*O101*IF(A101&gt;=$B$30,1-$B$29,1)*$B$34,0.5*household!$B$11*12*(1-$B$28)*O101*IF(A101&gt;=$B$30,1-$B$29,1)*$B$36),household!$B$12*12*(1-$B$28)*O101*IF(A101&gt;=$B$30,1-$B$29,1)*$B$34),0)</f>
        <v/>
      </c>
      <c r="CA101" s="15">
        <f>IF(AND($B$43&lt;&gt;0,A101&gt;=household!$B$6+$B$44),$B$43*(1+$B$18)^(MAX(household!$B$6+$B$44,household!$B$4-1)-household!$B$4+1)*(1+$B$47*$B$18)^(A101-MAX(household!$B$6+$B$44,household!$B$4-1)),0)</f>
        <v/>
      </c>
      <c r="CB101" s="15">
        <f>IF(AND($B$45&lt;&gt;0,A101&gt;=household!$B$9+$B$46),$B$45*(1+$B$18)^(MAX(household!$B$9+$B$46,household!$B$4-1)-household!$B$4+1)*(1+$B$47*$B$18)^(A101-MAX(household!$B$9+$B$46,household!$B$4-1)),0)</f>
        <v/>
      </c>
      <c r="CC101" s="15">
        <f>DC100</f>
        <v/>
      </c>
      <c r="CD101" s="15">
        <f>DD100</f>
        <v/>
      </c>
      <c r="CE101" s="15">
        <f>$B$20*CC101</f>
        <v/>
      </c>
      <c r="CF101" s="15">
        <f>DE100</f>
        <v/>
      </c>
      <c r="CG101" s="15">
        <f>DF100</f>
        <v/>
      </c>
      <c r="CH101" s="15">
        <f>IF(B101&gt;=$B$71,MAX(0,CF101)/INDEX(tax_tables!$Z$5:$Z$53,MATCH(B101,tax_tables!$Y$5:$Y$53,0)),0)</f>
        <v/>
      </c>
      <c r="CI101" s="15">
        <f>IF(C101&gt;=$B$72,MAX(0,CG101)/INDEX(tax_tables!$Z$5:$Z$53,MATCH(C101,tax_tables!$Y$5:$Y$53,0)),0)</f>
        <v/>
      </c>
      <c r="CJ101" s="15">
        <f>DG100</f>
        <v/>
      </c>
      <c r="CK101" s="15">
        <f>IF(OR($B$59="",$B$60=""),0,IF(AND(A101&gt;=$B$59,A101&lt;=$B$60),$B$58*O101,0))</f>
        <v/>
      </c>
      <c r="CL101" s="15">
        <f>MAX(0,CF101*(1+M101)-CH101)</f>
        <v/>
      </c>
      <c r="CM101" s="15">
        <f>MAX(0,CG101*(1+M101)-CI101)</f>
        <v/>
      </c>
      <c r="CN101" s="15">
        <f>EB100-AG100</f>
        <v/>
      </c>
      <c r="CO101" s="15">
        <f>AH101+F101+CA101+CB101+BQ101+CE101+CH101+CI101+BT101+AI101+AJ101+BO101</f>
        <v/>
      </c>
      <c r="CP101" s="15">
        <f>D101+CN101-CO101</f>
        <v/>
      </c>
      <c r="CQ101" s="15">
        <f>MAX(0,MIN(CP101,CC101*(1+M101-$B$20)))</f>
        <v/>
      </c>
      <c r="CR101" s="15">
        <f>MAX(0,MIN(CP101-CQ101,CL101+CM101))</f>
        <v/>
      </c>
      <c r="CS101" s="15">
        <f>IF(CL101+CM101&gt;1,CR101*CL101/(CL101+CM101),0)</f>
        <v/>
      </c>
      <c r="CT101" s="15">
        <f>CR101-CS101</f>
        <v/>
      </c>
      <c r="CU101" s="15">
        <f>MAX(0,MIN(CP101-CQ101-CR101,CJ101*(1+M101)))</f>
        <v/>
      </c>
      <c r="CV101" s="15">
        <f>MAX(0,MIN(CP101-CQ101-CR101-CU101,BN101*(1+M101)-BO101+AC101))</f>
        <v/>
      </c>
      <c r="CW101" s="15">
        <f>MAX(0,-CP101)</f>
        <v/>
      </c>
      <c r="CX101" s="15">
        <f>MIN(CK101,CL101-CS101+CM101-CT101)</f>
        <v/>
      </c>
      <c r="CY101" s="15">
        <f>IF(CL101-CS101+CM101-CT101&gt;1,CX101*(CL101-CS101)/(CL101-CS101+CM101-CT101),0)</f>
        <v/>
      </c>
      <c r="CZ101" s="15">
        <f>CX101-CY101</f>
        <v/>
      </c>
      <c r="DA101" s="22">
        <f>IF(CC101&gt;0,MAX(0,1-CD101/CC101),0)</f>
        <v/>
      </c>
      <c r="DB101" s="15">
        <f>CQ101*DA101</f>
        <v/>
      </c>
      <c r="DC101" s="15">
        <f>CC101*(1+M101-$B$20)-CQ101+CW101</f>
        <v/>
      </c>
      <c r="DD101" s="15">
        <f>CD101-(CQ101-DB101)+CW101</f>
        <v/>
      </c>
      <c r="DE101" s="15">
        <f>CF101*(1+M101)-CH101-CS101-CY101+Y101+AA101</f>
        <v/>
      </c>
      <c r="DF101" s="15">
        <f>CG101*(1+M101)-CI101-CT101-CZ101+Z101+AB101</f>
        <v/>
      </c>
      <c r="DG101" s="15">
        <f>CJ101*(1+M101)-CU101+CX101</f>
        <v/>
      </c>
      <c r="DH101" s="15">
        <f>AE101+CR101+CH101+CI101+CX101+CV101+BS101+AI101+CA101+CB101</f>
        <v/>
      </c>
      <c r="DI101" s="15">
        <f>CE101+DB101+BU101</f>
        <v/>
      </c>
      <c r="DJ101" s="15">
        <f>IF((DH101+DI101+0.5*F101)&lt;=tax_tables!$B$14,0,IF((DH101+DI101+0.5*F101)&lt;=tax_tables!$B$15,MIN(0.5*F101,0.5*((DH101+DI101+0.5*F101)-tax_tables!$B$14)),MIN(0.85*F101,0.85*((DH101+DI101+0.5*F101)-tax_tables!$B$15)+MIN(0.5*F101,tax_tables!$B$15-tax_tables!$B$14))))</f>
        <v/>
      </c>
      <c r="DK101" s="15">
        <f>DH101+DI101+DJ101</f>
        <v/>
      </c>
      <c r="DL101" s="12">
        <f>(B101&gt;=65)+(C101&gt;=65)</f>
        <v/>
      </c>
      <c r="DM101" s="15">
        <f>(tax_tables!$B$5+tax_tables!$B$6*DL101)*P101</f>
        <v/>
      </c>
      <c r="DN101" s="15">
        <f>IF(AND(A101&gt;=tax_tables!$B$8,A101&lt;=tax_tables!$B$9),DL101*MAX(0,tax_tables!$B$7-tax_tables!$B$11*MAX(0,DK101-tax_tables!$B$10)),0)</f>
        <v/>
      </c>
      <c r="DO101" s="15">
        <f>IFERROR(MAX(tax_tables!$B$16,INDEX(tax_tables!$W$5:$W$8,MATCH(A101,tax_tables!$V$5:$V$8,0))-tax_tables!$B$18*MAX(0,DK101-tax_tables!$B$17*1.01^(A101-tax_tables!$B$4))),tax_tables!$B$16)</f>
        <v/>
      </c>
      <c r="DP101" s="15">
        <f>MAX(0,BM101-BB101-tax_tables!$B$23*DK101)</f>
        <v/>
      </c>
      <c r="DQ101" s="15">
        <f>AN101+MIN(DO101,DY100+DZ100+EA100+AL101*properties!$H$2*O101)+DP101+$B$61*O101</f>
        <v/>
      </c>
      <c r="DR101" s="15">
        <f>MAX(DM101,DQ101)</f>
        <v/>
      </c>
      <c r="DS101" s="15">
        <f>MAX(0,DH101+DJ101-DR101-DN101)</f>
        <v/>
      </c>
      <c r="DT101" s="15">
        <f>MAX(0,DI101-MAX(0,DR101+DN101-DH101-DJ101))</f>
        <v/>
      </c>
      <c r="DU101" s="15">
        <f>SUMPRODUCT((DS101&gt;tax_tables!$E$5:$E$16*P101)*(DS101-tax_tables!$E$5:$E$16*P101)*tax_tables!$G$5:$G$16)+SUMPRODUCT(((DS101+DT101)&gt;tax_tables!$I$5:$I$16*P101)*((DS101+DT101)-tax_tables!$I$5:$I$16*P101)*tax_tables!$K$5:$K$16)-SUMPRODUCT((DS101&gt;tax_tables!$I$5:$I$16*P101)*(DS101-tax_tables!$I$5:$I$16*P101)*tax_tables!$K$5:$K$16)+tax_tables!$B$19*BV101+tax_tables!$B$12*MIN(CE101+DB101+BS101+BU101,MAX(0,DK101-tax_tables!$B$13))</f>
        <v/>
      </c>
      <c r="DV101" s="12">
        <f>IF($B$39="",0,IF(A101&gt;=$B$39,1,0))</f>
        <v/>
      </c>
      <c r="DW101" s="15">
        <f>IF(B101+0.5&gt;=tax_tables!$B$30,MIN(CS101+CH101+CY101+CA101,tax_tables!$B$29),0)+IF(C101+0.5&gt;=tax_tables!$B$30,MIN(CT101+CI101+CZ101+CB101,tax_tables!$B$29),0)</f>
        <v/>
      </c>
      <c r="DX101" s="15">
        <f>MAX(0,DK101-tax_tables!$B$28*DJ101-DW101-tax_tables!$B$26*IF(tax_tables!$B$27=1,P101,1))</f>
        <v/>
      </c>
      <c r="DY101" s="15">
        <f>(1-DV101)*SUMPRODUCT((DX101&gt;tax_tables!$M$5:$M$16*IF(tax_tables!$B$27=1,P101,1))*(DX101-tax_tables!$M$5:$M$16*IF(tax_tables!$B$27=1,P101,1))*tax_tables!$O$5:$O$16)</f>
        <v/>
      </c>
      <c r="DZ101" s="15">
        <f>(1-DV101)*tax_tables!$B$31*DX101</f>
        <v/>
      </c>
      <c r="EA101" s="15">
        <f>DV101*$B$40*MAX(0,DK101-DJ101)</f>
        <v/>
      </c>
      <c r="EB101" s="15">
        <f>DU101+DY101+DZ101+EA101</f>
        <v/>
      </c>
      <c r="EC101" s="15">
        <f>DC101+DE101+DF101+DG101+BP101</f>
        <v/>
      </c>
      <c r="ED101" s="15">
        <f>EC101+BW101-AP101+BX101</f>
        <v/>
      </c>
    </row>
    <row r="102">
      <c r="A102" s="12">
        <f>A101+1</f>
        <v/>
      </c>
      <c r="B102" s="12">
        <f>A102-household!$B$6</f>
        <v/>
      </c>
      <c r="C102" s="12">
        <f>A102-household!$B$9</f>
        <v/>
      </c>
      <c r="D102" s="15">
        <f>AS102+AT102+AU102+AV102+AZ102+BM102+AK102</f>
        <v/>
      </c>
      <c r="E102" s="15">
        <f>CN102+AG102+AF102</f>
        <v/>
      </c>
      <c r="F102" s="15">
        <f>BY102+BZ102</f>
        <v/>
      </c>
      <c r="G102" s="15">
        <f>CQ102+CR102+CU102+CH102+CI102+CE102-CW102+CV102+BO102</f>
        <v/>
      </c>
      <c r="H102" s="22">
        <f>IF(CC102+CF102+CG102+CJ102+BN102&lt;=0,"",G102/(CC102+CF102+CG102+CJ102+BN102))</f>
        <v/>
      </c>
      <c r="I102" s="23">
        <f>EC102/O102</f>
        <v/>
      </c>
      <c r="J102" s="23">
        <f>ED102/O102</f>
        <v/>
      </c>
      <c r="K102" s="15">
        <f>MAX(0,CP102-CQ102-CR102-CU102-CV102)</f>
        <v/>
      </c>
      <c r="L102" s="11" t="n"/>
      <c r="M102" s="22">
        <f>IF(L102="",$B$19,L102)</f>
        <v/>
      </c>
      <c r="N102" s="14" t="n"/>
      <c r="O102" s="13">
        <f>(1+$B$18)^(A102-household!$B$4+1)</f>
        <v/>
      </c>
      <c r="P102" s="13">
        <f>(1+$B$18)^(A102-tax_tables!$B$4)</f>
        <v/>
      </c>
      <c r="Q102" s="13">
        <f>(1+$B$21)^(A102-household!$B$4+1)</f>
        <v/>
      </c>
      <c r="R102" s="13">
        <f>(1+$B$22)^(A102-household!$B$4+1)</f>
        <v/>
      </c>
      <c r="S102" s="13">
        <f>(1+$B$23)^(A102-household!$B$4+1)</f>
        <v/>
      </c>
      <c r="T102" s="12">
        <f>IF(A102&lt;$B$5,1,0)</f>
        <v/>
      </c>
      <c r="U102" s="12">
        <f>IF(A102&lt;$B$6,1,0)</f>
        <v/>
      </c>
      <c r="V102" s="12">
        <f>IF(T102+U102&gt;0,1,0)</f>
        <v/>
      </c>
      <c r="W102" s="15">
        <f>T102*$B$7*O102+SUMPRODUCT(($B$83:$B$88=A102)*($D$83:$D$88="Wages: person 1")*$C$83:$C$88)*O102</f>
        <v/>
      </c>
      <c r="X102" s="15">
        <f>U102*$B$8*O102+SUMPRODUCT(($B$83:$B$88=A102)*($D$83:$D$88="Wages: person 2")*$C$83:$C$88)*O102</f>
        <v/>
      </c>
      <c r="Y102" s="15">
        <f>T102*$B$9*O102</f>
        <v/>
      </c>
      <c r="Z102" s="15">
        <f>U102*$B$10*O102</f>
        <v/>
      </c>
      <c r="AA102" s="15">
        <f>T102*$B$11*O102</f>
        <v/>
      </c>
      <c r="AB102" s="15">
        <f>U102*$B$12*O102</f>
        <v/>
      </c>
      <c r="AC102" s="15">
        <f>V102*$B$13*O102</f>
        <v/>
      </c>
      <c r="AD102" s="15">
        <f>W102+X102</f>
        <v/>
      </c>
      <c r="AE102" s="15">
        <f>AD102-Y102-Z102-AC102</f>
        <v/>
      </c>
      <c r="AF102" s="15">
        <f>0.062*MIN(W102,tax_tables!$B$21*P102)+0.062*MIN(X102,tax_tables!$B$21*P102)+0.0145*AD102+0.009*MAX(0,AD102-tax_tables!$B$22)</f>
        <v/>
      </c>
      <c r="AG102" s="15">
        <f>$B$14*AE102</f>
        <v/>
      </c>
      <c r="AH102" s="15">
        <f>AD102-Y102-Z102-AC102-AF102-AG102</f>
        <v/>
      </c>
      <c r="AI102" s="15">
        <f>SUMPRODUCT(($B$83:$B$88=A102)*($D$83:$D$88="Other taxable income")*$C$83:$C$88)*O102</f>
        <v/>
      </c>
      <c r="AJ102" s="15">
        <f>SUMPRODUCT(($B$83:$B$88=A102)*($D$83:$D$88="Tax-free money in")*$C$83:$C$88)*O102</f>
        <v/>
      </c>
      <c r="AK102" s="15">
        <f>SUMPRODUCT(($B$83:$B$88=A102)*($D$83:$D$88="Expense")*$C$83:$C$88)*O102</f>
        <v/>
      </c>
      <c r="AL102" s="12">
        <f>IF(OR($B$75="",A102&lt;$B$75),1,0)</f>
        <v/>
      </c>
      <c r="AM102" s="15">
        <f>AP101</f>
        <v/>
      </c>
      <c r="AN102" s="15">
        <f>AL102*AM102*properties!$J$2</f>
        <v/>
      </c>
      <c r="AO102" s="15">
        <f>AL102*MIN(properties!$K$2,AM102+AN102)</f>
        <v/>
      </c>
      <c r="AP102" s="15">
        <f>AL102*(AM102+AN102-AO102)</f>
        <v/>
      </c>
      <c r="AQ102" s="15">
        <f>AL102*properties!$G$2*O102</f>
        <v/>
      </c>
      <c r="AR102" s="15">
        <f>(1-AL102)*$E$75*O102</f>
        <v/>
      </c>
      <c r="AS102" s="15">
        <f>AO102+AQ102+AR102</f>
        <v/>
      </c>
      <c r="AT102" s="15">
        <f>SUMIF(budget!$A$2:$A$300,"household",budget!$F$2:$F$300)*O102*IF(N102="",1,N102)</f>
        <v/>
      </c>
      <c r="AU102" s="15">
        <f>SUMPRODUCT((other_budget!$C$2:$C$30&lt;=A102)*(other_budget!$D$2:$D$30&gt;=A102)*other_budget!$B$2:$B$30)*O102</f>
        <v/>
      </c>
      <c r="AV102" s="15">
        <f>SUMPRODUCT((kids_budget!$D$2:$D$40&lt;=A102)*(kids_budget!$E$2:$E$40&gt;=A102)*(kids_budget!$G$2:$G$40&lt;&gt;"college_funds")*kids_budget!$C$2:$C$40*((kids_budget!$F$2:$F$40="college")*R102+(kids_budget!$F$2:$F$40&lt;&gt;"college")*O102))</f>
        <v/>
      </c>
      <c r="AW102" s="15">
        <f>SUMPRODUCT((kids_budget!$D$2:$D$40&lt;=A102)*(kids_budget!$E$2:$E$40&gt;=A102)*(kids_budget!$G$2:$G$40="college_funds")*kids_budget!$C$2:$C$40*((kids_budget!$F$2:$F$40="college")*R102+(kids_budget!$F$2:$F$40&lt;&gt;"college")*O102))</f>
        <v/>
      </c>
      <c r="AX102" s="15">
        <f>BA101</f>
        <v/>
      </c>
      <c r="AY102" s="15">
        <f>MIN(AW102,AX102*(1+M102))</f>
        <v/>
      </c>
      <c r="AZ102" s="15">
        <f>AW102-AY102</f>
        <v/>
      </c>
      <c r="BA102" s="15">
        <f>AX102*(1+M102)-AY102</f>
        <v/>
      </c>
      <c r="BB102" s="15">
        <f>V102*healthcare!$B$5*Q102</f>
        <v/>
      </c>
      <c r="BC102" s="12">
        <f>(1-V102)*((B102&lt;65)+(C102&lt;65))</f>
        <v/>
      </c>
      <c r="BD102" s="12">
        <f>COUNTIF(household!$C$16:$C$23,"&gt;="&amp;A102)</f>
        <v/>
      </c>
      <c r="BE102" s="15">
        <f>(BC102*healthcare!$B$2+IF(BC102&gt;0,BD102,0)*healthcare!$B$3)*12*Q102</f>
        <v/>
      </c>
      <c r="BF102" s="15">
        <f>IF(BC102&gt;0,(BC102+BD102)*healthcare!$B$4*Q102,0)</f>
        <v/>
      </c>
      <c r="BG102" s="12">
        <f>(B102&gt;=65)+(C102&gt;=65)</f>
        <v/>
      </c>
      <c r="BH102" s="15">
        <f>BG102*(healthcare!$B$6+healthcare!$B$7+healthcare!$B$8)*12*Q102</f>
        <v/>
      </c>
      <c r="BI102" s="15">
        <f>BG102*healthcare!$B$9*Q102</f>
        <v/>
      </c>
      <c r="BJ102" s="15">
        <f>BG102*12*O102*SUMPRODUCT((DK100&gt;tax_tables!$Q$5:$Q$9*P102)*tax_tables!$T$5:$T$9)</f>
        <v/>
      </c>
      <c r="BK102" s="12">
        <f>AND(B102&gt;=$B$51,B102&lt;$B$51+$B$52)*1+AND(C102&gt;=$B$53,C102&lt;$B$53+$B$54)*1</f>
        <v/>
      </c>
      <c r="BL102" s="15">
        <f>BK102*$B$55*S102</f>
        <v/>
      </c>
      <c r="BM102" s="15">
        <f>BB102+BE102+BF102+BH102+BI102+BJ102+BL102</f>
        <v/>
      </c>
      <c r="BN102" s="15">
        <f>BP101</f>
        <v/>
      </c>
      <c r="BO102" s="15">
        <f>IF(V102=1,0,MIN(BN102*(1+M102),BF102+BG102*(healthcare!$B$6+healthcare!$B$7)*12*Q102+BI102+BJ102+BL102))</f>
        <v/>
      </c>
      <c r="BP102" s="15">
        <f>BN102*(1+M102)-BO102+AC102-CV102</f>
        <v/>
      </c>
      <c r="BQ102" s="15">
        <f>SUMPRODUCT((1-($B$76:$B$79&gt;0)*(A102&gt;=$B$76:$B$79))*(1-(($C$76:$C$79&gt;0)*(A102&gt;=$C$76:$C$79)))*(properties!$L$3:$L$6-properties!$M$3:$M$6))*O102+SUMPRODUCT((1-($B$76:$B$79&gt;0)*(A102&gt;=$B$76:$B$79))*(($C$76:$C$79&gt;0)*(A102&gt;=$C$76:$C$79))*($D$76:$D$79-$E$76:$E$79))*O102</f>
        <v/>
      </c>
      <c r="BR102" s="15">
        <f>SUMPRODUCT((1-($B$76:$B$79&gt;0)*(A102&gt;=$B$76:$B$79))*properties!$N$3:$N$6*(A102&lt;=properties!$O$3:$O$6))</f>
        <v/>
      </c>
      <c r="BS102" s="15">
        <f>MAX(0,BQ102-BR102)</f>
        <v/>
      </c>
      <c r="BT102" s="15">
        <f>SUMPRODUCT(($B$75:$B$79=A102)*$G$75:$G$79)</f>
        <v/>
      </c>
      <c r="BU102" s="15">
        <f>SUMPRODUCT(($B$75:$B$79=A102)*$H$75:$H$79)</f>
        <v/>
      </c>
      <c r="BV102" s="15">
        <f>SUMPRODUCT(($B$75:$B$79=A102)*$I$75:$I$79)</f>
        <v/>
      </c>
      <c r="BW102" s="15">
        <f>AL102*properties!$C$2*(1+properties!$D$2)^(A102-household!$B$4+1)</f>
        <v/>
      </c>
      <c r="BX102" s="15">
        <f>SUMPRODUCT((1-($B$76:$B$79&gt;0)*(A102&gt;=$B$76:$B$79))*properties!$C$3:$C$6*(1+properties!$D$3:$D$6)^(A102-household!$B$4+1))</f>
        <v/>
      </c>
      <c r="BY102" s="15">
        <f>IF(A102&gt;=$B$31,IF(A102&gt;=$B$32,MAX(household!$B$11*12*(1-$B$28)*O102*IF(A102&gt;=$B$30,1-$B$29,1)*$B$33,0.5*household!$B$12*12*(1-$B$28)*O102*IF(A102&gt;=$B$30,1-$B$29,1)*$B$35),household!$B$11*12*(1-$B$28)*O102*IF(A102&gt;=$B$30,1-$B$29,1)*$B$33),0)</f>
        <v/>
      </c>
      <c r="BZ102" s="15">
        <f>IF(A102&gt;=$B$32,IF(A102&gt;=$B$31,MAX(household!$B$12*12*(1-$B$28)*O102*IF(A102&gt;=$B$30,1-$B$29,1)*$B$34,0.5*household!$B$11*12*(1-$B$28)*O102*IF(A102&gt;=$B$30,1-$B$29,1)*$B$36),household!$B$12*12*(1-$B$28)*O102*IF(A102&gt;=$B$30,1-$B$29,1)*$B$34),0)</f>
        <v/>
      </c>
      <c r="CA102" s="15">
        <f>IF(AND($B$43&lt;&gt;0,A102&gt;=household!$B$6+$B$44),$B$43*(1+$B$18)^(MAX(household!$B$6+$B$44,household!$B$4-1)-household!$B$4+1)*(1+$B$47*$B$18)^(A102-MAX(household!$B$6+$B$44,household!$B$4-1)),0)</f>
        <v/>
      </c>
      <c r="CB102" s="15">
        <f>IF(AND($B$45&lt;&gt;0,A102&gt;=household!$B$9+$B$46),$B$45*(1+$B$18)^(MAX(household!$B$9+$B$46,household!$B$4-1)-household!$B$4+1)*(1+$B$47*$B$18)^(A102-MAX(household!$B$9+$B$46,household!$B$4-1)),0)</f>
        <v/>
      </c>
      <c r="CC102" s="15">
        <f>DC101</f>
        <v/>
      </c>
      <c r="CD102" s="15">
        <f>DD101</f>
        <v/>
      </c>
      <c r="CE102" s="15">
        <f>$B$20*CC102</f>
        <v/>
      </c>
      <c r="CF102" s="15">
        <f>DE101</f>
        <v/>
      </c>
      <c r="CG102" s="15">
        <f>DF101</f>
        <v/>
      </c>
      <c r="CH102" s="15">
        <f>IF(B102&gt;=$B$71,MAX(0,CF102)/INDEX(tax_tables!$Z$5:$Z$53,MATCH(B102,tax_tables!$Y$5:$Y$53,0)),0)</f>
        <v/>
      </c>
      <c r="CI102" s="15">
        <f>IF(C102&gt;=$B$72,MAX(0,CG102)/INDEX(tax_tables!$Z$5:$Z$53,MATCH(C102,tax_tables!$Y$5:$Y$53,0)),0)</f>
        <v/>
      </c>
      <c r="CJ102" s="15">
        <f>DG101</f>
        <v/>
      </c>
      <c r="CK102" s="15">
        <f>IF(OR($B$59="",$B$60=""),0,IF(AND(A102&gt;=$B$59,A102&lt;=$B$60),$B$58*O102,0))</f>
        <v/>
      </c>
      <c r="CL102" s="15">
        <f>MAX(0,CF102*(1+M102)-CH102)</f>
        <v/>
      </c>
      <c r="CM102" s="15">
        <f>MAX(0,CG102*(1+M102)-CI102)</f>
        <v/>
      </c>
      <c r="CN102" s="15">
        <f>EB101-AG101</f>
        <v/>
      </c>
      <c r="CO102" s="15">
        <f>AH102+F102+CA102+CB102+BQ102+CE102+CH102+CI102+BT102+AI102+AJ102+BO102</f>
        <v/>
      </c>
      <c r="CP102" s="15">
        <f>D102+CN102-CO102</f>
        <v/>
      </c>
      <c r="CQ102" s="15">
        <f>MAX(0,MIN(CP102,CC102*(1+M102-$B$20)))</f>
        <v/>
      </c>
      <c r="CR102" s="15">
        <f>MAX(0,MIN(CP102-CQ102,CL102+CM102))</f>
        <v/>
      </c>
      <c r="CS102" s="15">
        <f>IF(CL102+CM102&gt;1,CR102*CL102/(CL102+CM102),0)</f>
        <v/>
      </c>
      <c r="CT102" s="15">
        <f>CR102-CS102</f>
        <v/>
      </c>
      <c r="CU102" s="15">
        <f>MAX(0,MIN(CP102-CQ102-CR102,CJ102*(1+M102)))</f>
        <v/>
      </c>
      <c r="CV102" s="15">
        <f>MAX(0,MIN(CP102-CQ102-CR102-CU102,BN102*(1+M102)-BO102+AC102))</f>
        <v/>
      </c>
      <c r="CW102" s="15">
        <f>MAX(0,-CP102)</f>
        <v/>
      </c>
      <c r="CX102" s="15">
        <f>MIN(CK102,CL102-CS102+CM102-CT102)</f>
        <v/>
      </c>
      <c r="CY102" s="15">
        <f>IF(CL102-CS102+CM102-CT102&gt;1,CX102*(CL102-CS102)/(CL102-CS102+CM102-CT102),0)</f>
        <v/>
      </c>
      <c r="CZ102" s="15">
        <f>CX102-CY102</f>
        <v/>
      </c>
      <c r="DA102" s="22">
        <f>IF(CC102&gt;0,MAX(0,1-CD102/CC102),0)</f>
        <v/>
      </c>
      <c r="DB102" s="15">
        <f>CQ102*DA102</f>
        <v/>
      </c>
      <c r="DC102" s="15">
        <f>CC102*(1+M102-$B$20)-CQ102+CW102</f>
        <v/>
      </c>
      <c r="DD102" s="15">
        <f>CD102-(CQ102-DB102)+CW102</f>
        <v/>
      </c>
      <c r="DE102" s="15">
        <f>CF102*(1+M102)-CH102-CS102-CY102+Y102+AA102</f>
        <v/>
      </c>
      <c r="DF102" s="15">
        <f>CG102*(1+M102)-CI102-CT102-CZ102+Z102+AB102</f>
        <v/>
      </c>
      <c r="DG102" s="15">
        <f>CJ102*(1+M102)-CU102+CX102</f>
        <v/>
      </c>
      <c r="DH102" s="15">
        <f>AE102+CR102+CH102+CI102+CX102+CV102+BS102+AI102+CA102+CB102</f>
        <v/>
      </c>
      <c r="DI102" s="15">
        <f>CE102+DB102+BU102</f>
        <v/>
      </c>
      <c r="DJ102" s="15">
        <f>IF((DH102+DI102+0.5*F102)&lt;=tax_tables!$B$14,0,IF((DH102+DI102+0.5*F102)&lt;=tax_tables!$B$15,MIN(0.5*F102,0.5*((DH102+DI102+0.5*F102)-tax_tables!$B$14)),MIN(0.85*F102,0.85*((DH102+DI102+0.5*F102)-tax_tables!$B$15)+MIN(0.5*F102,tax_tables!$B$15-tax_tables!$B$14))))</f>
        <v/>
      </c>
      <c r="DK102" s="15">
        <f>DH102+DI102+DJ102</f>
        <v/>
      </c>
      <c r="DL102" s="12">
        <f>(B102&gt;=65)+(C102&gt;=65)</f>
        <v/>
      </c>
      <c r="DM102" s="15">
        <f>(tax_tables!$B$5+tax_tables!$B$6*DL102)*P102</f>
        <v/>
      </c>
      <c r="DN102" s="15">
        <f>IF(AND(A102&gt;=tax_tables!$B$8,A102&lt;=tax_tables!$B$9),DL102*MAX(0,tax_tables!$B$7-tax_tables!$B$11*MAX(0,DK102-tax_tables!$B$10)),0)</f>
        <v/>
      </c>
      <c r="DO102" s="15">
        <f>IFERROR(MAX(tax_tables!$B$16,INDEX(tax_tables!$W$5:$W$8,MATCH(A102,tax_tables!$V$5:$V$8,0))-tax_tables!$B$18*MAX(0,DK102-tax_tables!$B$17*1.01^(A102-tax_tables!$B$4))),tax_tables!$B$16)</f>
        <v/>
      </c>
      <c r="DP102" s="15">
        <f>MAX(0,BM102-BB102-tax_tables!$B$23*DK102)</f>
        <v/>
      </c>
      <c r="DQ102" s="15">
        <f>AN102+MIN(DO102,DY101+DZ101+EA101+AL102*properties!$H$2*O102)+DP102+$B$61*O102</f>
        <v/>
      </c>
      <c r="DR102" s="15">
        <f>MAX(DM102,DQ102)</f>
        <v/>
      </c>
      <c r="DS102" s="15">
        <f>MAX(0,DH102+DJ102-DR102-DN102)</f>
        <v/>
      </c>
      <c r="DT102" s="15">
        <f>MAX(0,DI102-MAX(0,DR102+DN102-DH102-DJ102))</f>
        <v/>
      </c>
      <c r="DU102" s="15">
        <f>SUMPRODUCT((DS102&gt;tax_tables!$E$5:$E$16*P102)*(DS102-tax_tables!$E$5:$E$16*P102)*tax_tables!$G$5:$G$16)+SUMPRODUCT(((DS102+DT102)&gt;tax_tables!$I$5:$I$16*P102)*((DS102+DT102)-tax_tables!$I$5:$I$16*P102)*tax_tables!$K$5:$K$16)-SUMPRODUCT((DS102&gt;tax_tables!$I$5:$I$16*P102)*(DS102-tax_tables!$I$5:$I$16*P102)*tax_tables!$K$5:$K$16)+tax_tables!$B$19*BV102+tax_tables!$B$12*MIN(CE102+DB102+BS102+BU102,MAX(0,DK102-tax_tables!$B$13))</f>
        <v/>
      </c>
      <c r="DV102" s="12">
        <f>IF($B$39="",0,IF(A102&gt;=$B$39,1,0))</f>
        <v/>
      </c>
      <c r="DW102" s="15">
        <f>IF(B102+0.5&gt;=tax_tables!$B$30,MIN(CS102+CH102+CY102+CA102,tax_tables!$B$29),0)+IF(C102+0.5&gt;=tax_tables!$B$30,MIN(CT102+CI102+CZ102+CB102,tax_tables!$B$29),0)</f>
        <v/>
      </c>
      <c r="DX102" s="15">
        <f>MAX(0,DK102-tax_tables!$B$28*DJ102-DW102-tax_tables!$B$26*IF(tax_tables!$B$27=1,P102,1))</f>
        <v/>
      </c>
      <c r="DY102" s="15">
        <f>(1-DV102)*SUMPRODUCT((DX102&gt;tax_tables!$M$5:$M$16*IF(tax_tables!$B$27=1,P102,1))*(DX102-tax_tables!$M$5:$M$16*IF(tax_tables!$B$27=1,P102,1))*tax_tables!$O$5:$O$16)</f>
        <v/>
      </c>
      <c r="DZ102" s="15">
        <f>(1-DV102)*tax_tables!$B$31*DX102</f>
        <v/>
      </c>
      <c r="EA102" s="15">
        <f>DV102*$B$40*MAX(0,DK102-DJ102)</f>
        <v/>
      </c>
      <c r="EB102" s="15">
        <f>DU102+DY102+DZ102+EA102</f>
        <v/>
      </c>
      <c r="EC102" s="15">
        <f>DC102+DE102+DF102+DG102+BP102</f>
        <v/>
      </c>
      <c r="ED102" s="15">
        <f>EC102+BW102-AP102+BX102</f>
        <v/>
      </c>
    </row>
    <row r="103">
      <c r="A103" s="12">
        <f>A102+1</f>
        <v/>
      </c>
      <c r="B103" s="12">
        <f>A103-household!$B$6</f>
        <v/>
      </c>
      <c r="C103" s="12">
        <f>A103-household!$B$9</f>
        <v/>
      </c>
      <c r="D103" s="15">
        <f>AS103+AT103+AU103+AV103+AZ103+BM103+AK103</f>
        <v/>
      </c>
      <c r="E103" s="15">
        <f>CN103+AG103+AF103</f>
        <v/>
      </c>
      <c r="F103" s="15">
        <f>BY103+BZ103</f>
        <v/>
      </c>
      <c r="G103" s="15">
        <f>CQ103+CR103+CU103+CH103+CI103+CE103-CW103+CV103+BO103</f>
        <v/>
      </c>
      <c r="H103" s="22">
        <f>IF(CC103+CF103+CG103+CJ103+BN103&lt;=0,"",G103/(CC103+CF103+CG103+CJ103+BN103))</f>
        <v/>
      </c>
      <c r="I103" s="23">
        <f>EC103/O103</f>
        <v/>
      </c>
      <c r="J103" s="23">
        <f>ED103/O103</f>
        <v/>
      </c>
      <c r="K103" s="15">
        <f>MAX(0,CP103-CQ103-CR103-CU103-CV103)</f>
        <v/>
      </c>
      <c r="L103" s="11" t="n"/>
      <c r="M103" s="22">
        <f>IF(L103="",$B$19,L103)</f>
        <v/>
      </c>
      <c r="N103" s="14" t="n"/>
      <c r="O103" s="13">
        <f>(1+$B$18)^(A103-household!$B$4+1)</f>
        <v/>
      </c>
      <c r="P103" s="13">
        <f>(1+$B$18)^(A103-tax_tables!$B$4)</f>
        <v/>
      </c>
      <c r="Q103" s="13">
        <f>(1+$B$21)^(A103-household!$B$4+1)</f>
        <v/>
      </c>
      <c r="R103" s="13">
        <f>(1+$B$22)^(A103-household!$B$4+1)</f>
        <v/>
      </c>
      <c r="S103" s="13">
        <f>(1+$B$23)^(A103-household!$B$4+1)</f>
        <v/>
      </c>
      <c r="T103" s="12">
        <f>IF(A103&lt;$B$5,1,0)</f>
        <v/>
      </c>
      <c r="U103" s="12">
        <f>IF(A103&lt;$B$6,1,0)</f>
        <v/>
      </c>
      <c r="V103" s="12">
        <f>IF(T103+U103&gt;0,1,0)</f>
        <v/>
      </c>
      <c r="W103" s="15">
        <f>T103*$B$7*O103+SUMPRODUCT(($B$83:$B$88=A103)*($D$83:$D$88="Wages: person 1")*$C$83:$C$88)*O103</f>
        <v/>
      </c>
      <c r="X103" s="15">
        <f>U103*$B$8*O103+SUMPRODUCT(($B$83:$B$88=A103)*($D$83:$D$88="Wages: person 2")*$C$83:$C$88)*O103</f>
        <v/>
      </c>
      <c r="Y103" s="15">
        <f>T103*$B$9*O103</f>
        <v/>
      </c>
      <c r="Z103" s="15">
        <f>U103*$B$10*O103</f>
        <v/>
      </c>
      <c r="AA103" s="15">
        <f>T103*$B$11*O103</f>
        <v/>
      </c>
      <c r="AB103" s="15">
        <f>U103*$B$12*O103</f>
        <v/>
      </c>
      <c r="AC103" s="15">
        <f>V103*$B$13*O103</f>
        <v/>
      </c>
      <c r="AD103" s="15">
        <f>W103+X103</f>
        <v/>
      </c>
      <c r="AE103" s="15">
        <f>AD103-Y103-Z103-AC103</f>
        <v/>
      </c>
      <c r="AF103" s="15">
        <f>0.062*MIN(W103,tax_tables!$B$21*P103)+0.062*MIN(X103,tax_tables!$B$21*P103)+0.0145*AD103+0.009*MAX(0,AD103-tax_tables!$B$22)</f>
        <v/>
      </c>
      <c r="AG103" s="15">
        <f>$B$14*AE103</f>
        <v/>
      </c>
      <c r="AH103" s="15">
        <f>AD103-Y103-Z103-AC103-AF103-AG103</f>
        <v/>
      </c>
      <c r="AI103" s="15">
        <f>SUMPRODUCT(($B$83:$B$88=A103)*($D$83:$D$88="Other taxable income")*$C$83:$C$88)*O103</f>
        <v/>
      </c>
      <c r="AJ103" s="15">
        <f>SUMPRODUCT(($B$83:$B$88=A103)*($D$83:$D$88="Tax-free money in")*$C$83:$C$88)*O103</f>
        <v/>
      </c>
      <c r="AK103" s="15">
        <f>SUMPRODUCT(($B$83:$B$88=A103)*($D$83:$D$88="Expense")*$C$83:$C$88)*O103</f>
        <v/>
      </c>
      <c r="AL103" s="12">
        <f>IF(OR($B$75="",A103&lt;$B$75),1,0)</f>
        <v/>
      </c>
      <c r="AM103" s="15">
        <f>AP102</f>
        <v/>
      </c>
      <c r="AN103" s="15">
        <f>AL103*AM103*properties!$J$2</f>
        <v/>
      </c>
      <c r="AO103" s="15">
        <f>AL103*MIN(properties!$K$2,AM103+AN103)</f>
        <v/>
      </c>
      <c r="AP103" s="15">
        <f>AL103*(AM103+AN103-AO103)</f>
        <v/>
      </c>
      <c r="AQ103" s="15">
        <f>AL103*properties!$G$2*O103</f>
        <v/>
      </c>
      <c r="AR103" s="15">
        <f>(1-AL103)*$E$75*O103</f>
        <v/>
      </c>
      <c r="AS103" s="15">
        <f>AO103+AQ103+AR103</f>
        <v/>
      </c>
      <c r="AT103" s="15">
        <f>SUMIF(budget!$A$2:$A$300,"household",budget!$F$2:$F$300)*O103*IF(N103="",1,N103)</f>
        <v/>
      </c>
      <c r="AU103" s="15">
        <f>SUMPRODUCT((other_budget!$C$2:$C$30&lt;=A103)*(other_budget!$D$2:$D$30&gt;=A103)*other_budget!$B$2:$B$30)*O103</f>
        <v/>
      </c>
      <c r="AV103" s="15">
        <f>SUMPRODUCT((kids_budget!$D$2:$D$40&lt;=A103)*(kids_budget!$E$2:$E$40&gt;=A103)*(kids_budget!$G$2:$G$40&lt;&gt;"college_funds")*kids_budget!$C$2:$C$40*((kids_budget!$F$2:$F$40="college")*R103+(kids_budget!$F$2:$F$40&lt;&gt;"college")*O103))</f>
        <v/>
      </c>
      <c r="AW103" s="15">
        <f>SUMPRODUCT((kids_budget!$D$2:$D$40&lt;=A103)*(kids_budget!$E$2:$E$40&gt;=A103)*(kids_budget!$G$2:$G$40="college_funds")*kids_budget!$C$2:$C$40*((kids_budget!$F$2:$F$40="college")*R103+(kids_budget!$F$2:$F$40&lt;&gt;"college")*O103))</f>
        <v/>
      </c>
      <c r="AX103" s="15">
        <f>BA102</f>
        <v/>
      </c>
      <c r="AY103" s="15">
        <f>MIN(AW103,AX103*(1+M103))</f>
        <v/>
      </c>
      <c r="AZ103" s="15">
        <f>AW103-AY103</f>
        <v/>
      </c>
      <c r="BA103" s="15">
        <f>AX103*(1+M103)-AY103</f>
        <v/>
      </c>
      <c r="BB103" s="15">
        <f>V103*healthcare!$B$5*Q103</f>
        <v/>
      </c>
      <c r="BC103" s="12">
        <f>(1-V103)*((B103&lt;65)+(C103&lt;65))</f>
        <v/>
      </c>
      <c r="BD103" s="12">
        <f>COUNTIF(household!$C$16:$C$23,"&gt;="&amp;A103)</f>
        <v/>
      </c>
      <c r="BE103" s="15">
        <f>(BC103*healthcare!$B$2+IF(BC103&gt;0,BD103,0)*healthcare!$B$3)*12*Q103</f>
        <v/>
      </c>
      <c r="BF103" s="15">
        <f>IF(BC103&gt;0,(BC103+BD103)*healthcare!$B$4*Q103,0)</f>
        <v/>
      </c>
      <c r="BG103" s="12">
        <f>(B103&gt;=65)+(C103&gt;=65)</f>
        <v/>
      </c>
      <c r="BH103" s="15">
        <f>BG103*(healthcare!$B$6+healthcare!$B$7+healthcare!$B$8)*12*Q103</f>
        <v/>
      </c>
      <c r="BI103" s="15">
        <f>BG103*healthcare!$B$9*Q103</f>
        <v/>
      </c>
      <c r="BJ103" s="15">
        <f>BG103*12*O103*SUMPRODUCT((DK101&gt;tax_tables!$Q$5:$Q$9*P103)*tax_tables!$T$5:$T$9)</f>
        <v/>
      </c>
      <c r="BK103" s="12">
        <f>AND(B103&gt;=$B$51,B103&lt;$B$51+$B$52)*1+AND(C103&gt;=$B$53,C103&lt;$B$53+$B$54)*1</f>
        <v/>
      </c>
      <c r="BL103" s="15">
        <f>BK103*$B$55*S103</f>
        <v/>
      </c>
      <c r="BM103" s="15">
        <f>BB103+BE103+BF103+BH103+BI103+BJ103+BL103</f>
        <v/>
      </c>
      <c r="BN103" s="15">
        <f>BP102</f>
        <v/>
      </c>
      <c r="BO103" s="15">
        <f>IF(V103=1,0,MIN(BN103*(1+M103),BF103+BG103*(healthcare!$B$6+healthcare!$B$7)*12*Q103+BI103+BJ103+BL103))</f>
        <v/>
      </c>
      <c r="BP103" s="15">
        <f>BN103*(1+M103)-BO103+AC103-CV103</f>
        <v/>
      </c>
      <c r="BQ103" s="15">
        <f>SUMPRODUCT((1-($B$76:$B$79&gt;0)*(A103&gt;=$B$76:$B$79))*(1-(($C$76:$C$79&gt;0)*(A103&gt;=$C$76:$C$79)))*(properties!$L$3:$L$6-properties!$M$3:$M$6))*O103+SUMPRODUCT((1-($B$76:$B$79&gt;0)*(A103&gt;=$B$76:$B$79))*(($C$76:$C$79&gt;0)*(A103&gt;=$C$76:$C$79))*($D$76:$D$79-$E$76:$E$79))*O103</f>
        <v/>
      </c>
      <c r="BR103" s="15">
        <f>SUMPRODUCT((1-($B$76:$B$79&gt;0)*(A103&gt;=$B$76:$B$79))*properties!$N$3:$N$6*(A103&lt;=properties!$O$3:$O$6))</f>
        <v/>
      </c>
      <c r="BS103" s="15">
        <f>MAX(0,BQ103-BR103)</f>
        <v/>
      </c>
      <c r="BT103" s="15">
        <f>SUMPRODUCT(($B$75:$B$79=A103)*$G$75:$G$79)</f>
        <v/>
      </c>
      <c r="BU103" s="15">
        <f>SUMPRODUCT(($B$75:$B$79=A103)*$H$75:$H$79)</f>
        <v/>
      </c>
      <c r="BV103" s="15">
        <f>SUMPRODUCT(($B$75:$B$79=A103)*$I$75:$I$79)</f>
        <v/>
      </c>
      <c r="BW103" s="15">
        <f>AL103*properties!$C$2*(1+properties!$D$2)^(A103-household!$B$4+1)</f>
        <v/>
      </c>
      <c r="BX103" s="15">
        <f>SUMPRODUCT((1-($B$76:$B$79&gt;0)*(A103&gt;=$B$76:$B$79))*properties!$C$3:$C$6*(1+properties!$D$3:$D$6)^(A103-household!$B$4+1))</f>
        <v/>
      </c>
      <c r="BY103" s="15">
        <f>IF(A103&gt;=$B$31,IF(A103&gt;=$B$32,MAX(household!$B$11*12*(1-$B$28)*O103*IF(A103&gt;=$B$30,1-$B$29,1)*$B$33,0.5*household!$B$12*12*(1-$B$28)*O103*IF(A103&gt;=$B$30,1-$B$29,1)*$B$35),household!$B$11*12*(1-$B$28)*O103*IF(A103&gt;=$B$30,1-$B$29,1)*$B$33),0)</f>
        <v/>
      </c>
      <c r="BZ103" s="15">
        <f>IF(A103&gt;=$B$32,IF(A103&gt;=$B$31,MAX(household!$B$12*12*(1-$B$28)*O103*IF(A103&gt;=$B$30,1-$B$29,1)*$B$34,0.5*household!$B$11*12*(1-$B$28)*O103*IF(A103&gt;=$B$30,1-$B$29,1)*$B$36),household!$B$12*12*(1-$B$28)*O103*IF(A103&gt;=$B$30,1-$B$29,1)*$B$34),0)</f>
        <v/>
      </c>
      <c r="CA103" s="15">
        <f>IF(AND($B$43&lt;&gt;0,A103&gt;=household!$B$6+$B$44),$B$43*(1+$B$18)^(MAX(household!$B$6+$B$44,household!$B$4-1)-household!$B$4+1)*(1+$B$47*$B$18)^(A103-MAX(household!$B$6+$B$44,household!$B$4-1)),0)</f>
        <v/>
      </c>
      <c r="CB103" s="15">
        <f>IF(AND($B$45&lt;&gt;0,A103&gt;=household!$B$9+$B$46),$B$45*(1+$B$18)^(MAX(household!$B$9+$B$46,household!$B$4-1)-household!$B$4+1)*(1+$B$47*$B$18)^(A103-MAX(household!$B$9+$B$46,household!$B$4-1)),0)</f>
        <v/>
      </c>
      <c r="CC103" s="15">
        <f>DC102</f>
        <v/>
      </c>
      <c r="CD103" s="15">
        <f>DD102</f>
        <v/>
      </c>
      <c r="CE103" s="15">
        <f>$B$20*CC103</f>
        <v/>
      </c>
      <c r="CF103" s="15">
        <f>DE102</f>
        <v/>
      </c>
      <c r="CG103" s="15">
        <f>DF102</f>
        <v/>
      </c>
      <c r="CH103" s="15">
        <f>IF(B103&gt;=$B$71,MAX(0,CF103)/INDEX(tax_tables!$Z$5:$Z$53,MATCH(B103,tax_tables!$Y$5:$Y$53,0)),0)</f>
        <v/>
      </c>
      <c r="CI103" s="15">
        <f>IF(C103&gt;=$B$72,MAX(0,CG103)/INDEX(tax_tables!$Z$5:$Z$53,MATCH(C103,tax_tables!$Y$5:$Y$53,0)),0)</f>
        <v/>
      </c>
      <c r="CJ103" s="15">
        <f>DG102</f>
        <v/>
      </c>
      <c r="CK103" s="15">
        <f>IF(OR($B$59="",$B$60=""),0,IF(AND(A103&gt;=$B$59,A103&lt;=$B$60),$B$58*O103,0))</f>
        <v/>
      </c>
      <c r="CL103" s="15">
        <f>MAX(0,CF103*(1+M103)-CH103)</f>
        <v/>
      </c>
      <c r="CM103" s="15">
        <f>MAX(0,CG103*(1+M103)-CI103)</f>
        <v/>
      </c>
      <c r="CN103" s="15">
        <f>EB102-AG102</f>
        <v/>
      </c>
      <c r="CO103" s="15">
        <f>AH103+F103+CA103+CB103+BQ103+CE103+CH103+CI103+BT103+AI103+AJ103+BO103</f>
        <v/>
      </c>
      <c r="CP103" s="15">
        <f>D103+CN103-CO103</f>
        <v/>
      </c>
      <c r="CQ103" s="15">
        <f>MAX(0,MIN(CP103,CC103*(1+M103-$B$20)))</f>
        <v/>
      </c>
      <c r="CR103" s="15">
        <f>MAX(0,MIN(CP103-CQ103,CL103+CM103))</f>
        <v/>
      </c>
      <c r="CS103" s="15">
        <f>IF(CL103+CM103&gt;1,CR103*CL103/(CL103+CM103),0)</f>
        <v/>
      </c>
      <c r="CT103" s="15">
        <f>CR103-CS103</f>
        <v/>
      </c>
      <c r="CU103" s="15">
        <f>MAX(0,MIN(CP103-CQ103-CR103,CJ103*(1+M103)))</f>
        <v/>
      </c>
      <c r="CV103" s="15">
        <f>MAX(0,MIN(CP103-CQ103-CR103-CU103,BN103*(1+M103)-BO103+AC103))</f>
        <v/>
      </c>
      <c r="CW103" s="15">
        <f>MAX(0,-CP103)</f>
        <v/>
      </c>
      <c r="CX103" s="15">
        <f>MIN(CK103,CL103-CS103+CM103-CT103)</f>
        <v/>
      </c>
      <c r="CY103" s="15">
        <f>IF(CL103-CS103+CM103-CT103&gt;1,CX103*(CL103-CS103)/(CL103-CS103+CM103-CT103),0)</f>
        <v/>
      </c>
      <c r="CZ103" s="15">
        <f>CX103-CY103</f>
        <v/>
      </c>
      <c r="DA103" s="22">
        <f>IF(CC103&gt;0,MAX(0,1-CD103/CC103),0)</f>
        <v/>
      </c>
      <c r="DB103" s="15">
        <f>CQ103*DA103</f>
        <v/>
      </c>
      <c r="DC103" s="15">
        <f>CC103*(1+M103-$B$20)-CQ103+CW103</f>
        <v/>
      </c>
      <c r="DD103" s="15">
        <f>CD103-(CQ103-DB103)+CW103</f>
        <v/>
      </c>
      <c r="DE103" s="15">
        <f>CF103*(1+M103)-CH103-CS103-CY103+Y103+AA103</f>
        <v/>
      </c>
      <c r="DF103" s="15">
        <f>CG103*(1+M103)-CI103-CT103-CZ103+Z103+AB103</f>
        <v/>
      </c>
      <c r="DG103" s="15">
        <f>CJ103*(1+M103)-CU103+CX103</f>
        <v/>
      </c>
      <c r="DH103" s="15">
        <f>AE103+CR103+CH103+CI103+CX103+CV103+BS103+AI103+CA103+CB103</f>
        <v/>
      </c>
      <c r="DI103" s="15">
        <f>CE103+DB103+BU103</f>
        <v/>
      </c>
      <c r="DJ103" s="15">
        <f>IF((DH103+DI103+0.5*F103)&lt;=tax_tables!$B$14,0,IF((DH103+DI103+0.5*F103)&lt;=tax_tables!$B$15,MIN(0.5*F103,0.5*((DH103+DI103+0.5*F103)-tax_tables!$B$14)),MIN(0.85*F103,0.85*((DH103+DI103+0.5*F103)-tax_tables!$B$15)+MIN(0.5*F103,tax_tables!$B$15-tax_tables!$B$14))))</f>
        <v/>
      </c>
      <c r="DK103" s="15">
        <f>DH103+DI103+DJ103</f>
        <v/>
      </c>
      <c r="DL103" s="12">
        <f>(B103&gt;=65)+(C103&gt;=65)</f>
        <v/>
      </c>
      <c r="DM103" s="15">
        <f>(tax_tables!$B$5+tax_tables!$B$6*DL103)*P103</f>
        <v/>
      </c>
      <c r="DN103" s="15">
        <f>IF(AND(A103&gt;=tax_tables!$B$8,A103&lt;=tax_tables!$B$9),DL103*MAX(0,tax_tables!$B$7-tax_tables!$B$11*MAX(0,DK103-tax_tables!$B$10)),0)</f>
        <v/>
      </c>
      <c r="DO103" s="15">
        <f>IFERROR(MAX(tax_tables!$B$16,INDEX(tax_tables!$W$5:$W$8,MATCH(A103,tax_tables!$V$5:$V$8,0))-tax_tables!$B$18*MAX(0,DK103-tax_tables!$B$17*1.01^(A103-tax_tables!$B$4))),tax_tables!$B$16)</f>
        <v/>
      </c>
      <c r="DP103" s="15">
        <f>MAX(0,BM103-BB103-tax_tables!$B$23*DK103)</f>
        <v/>
      </c>
      <c r="DQ103" s="15">
        <f>AN103+MIN(DO103,DY102+DZ102+EA102+AL103*properties!$H$2*O103)+DP103+$B$61*O103</f>
        <v/>
      </c>
      <c r="DR103" s="15">
        <f>MAX(DM103,DQ103)</f>
        <v/>
      </c>
      <c r="DS103" s="15">
        <f>MAX(0,DH103+DJ103-DR103-DN103)</f>
        <v/>
      </c>
      <c r="DT103" s="15">
        <f>MAX(0,DI103-MAX(0,DR103+DN103-DH103-DJ103))</f>
        <v/>
      </c>
      <c r="DU103" s="15">
        <f>SUMPRODUCT((DS103&gt;tax_tables!$E$5:$E$16*P103)*(DS103-tax_tables!$E$5:$E$16*P103)*tax_tables!$G$5:$G$16)+SUMPRODUCT(((DS103+DT103)&gt;tax_tables!$I$5:$I$16*P103)*((DS103+DT103)-tax_tables!$I$5:$I$16*P103)*tax_tables!$K$5:$K$16)-SUMPRODUCT((DS103&gt;tax_tables!$I$5:$I$16*P103)*(DS103-tax_tables!$I$5:$I$16*P103)*tax_tables!$K$5:$K$16)+tax_tables!$B$19*BV103+tax_tables!$B$12*MIN(CE103+DB103+BS103+BU103,MAX(0,DK103-tax_tables!$B$13))</f>
        <v/>
      </c>
      <c r="DV103" s="12">
        <f>IF($B$39="",0,IF(A103&gt;=$B$39,1,0))</f>
        <v/>
      </c>
      <c r="DW103" s="15">
        <f>IF(B103+0.5&gt;=tax_tables!$B$30,MIN(CS103+CH103+CY103+CA103,tax_tables!$B$29),0)+IF(C103+0.5&gt;=tax_tables!$B$30,MIN(CT103+CI103+CZ103+CB103,tax_tables!$B$29),0)</f>
        <v/>
      </c>
      <c r="DX103" s="15">
        <f>MAX(0,DK103-tax_tables!$B$28*DJ103-DW103-tax_tables!$B$26*IF(tax_tables!$B$27=1,P103,1))</f>
        <v/>
      </c>
      <c r="DY103" s="15">
        <f>(1-DV103)*SUMPRODUCT((DX103&gt;tax_tables!$M$5:$M$16*IF(tax_tables!$B$27=1,P103,1))*(DX103-tax_tables!$M$5:$M$16*IF(tax_tables!$B$27=1,P103,1))*tax_tables!$O$5:$O$16)</f>
        <v/>
      </c>
      <c r="DZ103" s="15">
        <f>(1-DV103)*tax_tables!$B$31*DX103</f>
        <v/>
      </c>
      <c r="EA103" s="15">
        <f>DV103*$B$40*MAX(0,DK103-DJ103)</f>
        <v/>
      </c>
      <c r="EB103" s="15">
        <f>DU103+DY103+DZ103+EA103</f>
        <v/>
      </c>
      <c r="EC103" s="15">
        <f>DC103+DE103+DF103+DG103+BP103</f>
        <v/>
      </c>
      <c r="ED103" s="15">
        <f>EC103+BW103-AP103+BX103</f>
        <v/>
      </c>
    </row>
    <row r="104">
      <c r="A104" s="12">
        <f>A103+1</f>
        <v/>
      </c>
      <c r="B104" s="12">
        <f>A104-household!$B$6</f>
        <v/>
      </c>
      <c r="C104" s="12">
        <f>A104-household!$B$9</f>
        <v/>
      </c>
      <c r="D104" s="15">
        <f>AS104+AT104+AU104+AV104+AZ104+BM104+AK104</f>
        <v/>
      </c>
      <c r="E104" s="15">
        <f>CN104+AG104+AF104</f>
        <v/>
      </c>
      <c r="F104" s="15">
        <f>BY104+BZ104</f>
        <v/>
      </c>
      <c r="G104" s="15">
        <f>CQ104+CR104+CU104+CH104+CI104+CE104-CW104+CV104+BO104</f>
        <v/>
      </c>
      <c r="H104" s="22">
        <f>IF(CC104+CF104+CG104+CJ104+BN104&lt;=0,"",G104/(CC104+CF104+CG104+CJ104+BN104))</f>
        <v/>
      </c>
      <c r="I104" s="23">
        <f>EC104/O104</f>
        <v/>
      </c>
      <c r="J104" s="23">
        <f>ED104/O104</f>
        <v/>
      </c>
      <c r="K104" s="15">
        <f>MAX(0,CP104-CQ104-CR104-CU104-CV104)</f>
        <v/>
      </c>
      <c r="L104" s="11" t="n"/>
      <c r="M104" s="22">
        <f>IF(L104="",$B$19,L104)</f>
        <v/>
      </c>
      <c r="N104" s="14" t="n"/>
      <c r="O104" s="13">
        <f>(1+$B$18)^(A104-household!$B$4+1)</f>
        <v/>
      </c>
      <c r="P104" s="13">
        <f>(1+$B$18)^(A104-tax_tables!$B$4)</f>
        <v/>
      </c>
      <c r="Q104" s="13">
        <f>(1+$B$21)^(A104-household!$B$4+1)</f>
        <v/>
      </c>
      <c r="R104" s="13">
        <f>(1+$B$22)^(A104-household!$B$4+1)</f>
        <v/>
      </c>
      <c r="S104" s="13">
        <f>(1+$B$23)^(A104-household!$B$4+1)</f>
        <v/>
      </c>
      <c r="T104" s="12">
        <f>IF(A104&lt;$B$5,1,0)</f>
        <v/>
      </c>
      <c r="U104" s="12">
        <f>IF(A104&lt;$B$6,1,0)</f>
        <v/>
      </c>
      <c r="V104" s="12">
        <f>IF(T104+U104&gt;0,1,0)</f>
        <v/>
      </c>
      <c r="W104" s="15">
        <f>T104*$B$7*O104+SUMPRODUCT(($B$83:$B$88=A104)*($D$83:$D$88="Wages: person 1")*$C$83:$C$88)*O104</f>
        <v/>
      </c>
      <c r="X104" s="15">
        <f>U104*$B$8*O104+SUMPRODUCT(($B$83:$B$88=A104)*($D$83:$D$88="Wages: person 2")*$C$83:$C$88)*O104</f>
        <v/>
      </c>
      <c r="Y104" s="15">
        <f>T104*$B$9*O104</f>
        <v/>
      </c>
      <c r="Z104" s="15">
        <f>U104*$B$10*O104</f>
        <v/>
      </c>
      <c r="AA104" s="15">
        <f>T104*$B$11*O104</f>
        <v/>
      </c>
      <c r="AB104" s="15">
        <f>U104*$B$12*O104</f>
        <v/>
      </c>
      <c r="AC104" s="15">
        <f>V104*$B$13*O104</f>
        <v/>
      </c>
      <c r="AD104" s="15">
        <f>W104+X104</f>
        <v/>
      </c>
      <c r="AE104" s="15">
        <f>AD104-Y104-Z104-AC104</f>
        <v/>
      </c>
      <c r="AF104" s="15">
        <f>0.062*MIN(W104,tax_tables!$B$21*P104)+0.062*MIN(X104,tax_tables!$B$21*P104)+0.0145*AD104+0.009*MAX(0,AD104-tax_tables!$B$22)</f>
        <v/>
      </c>
      <c r="AG104" s="15">
        <f>$B$14*AE104</f>
        <v/>
      </c>
      <c r="AH104" s="15">
        <f>AD104-Y104-Z104-AC104-AF104-AG104</f>
        <v/>
      </c>
      <c r="AI104" s="15">
        <f>SUMPRODUCT(($B$83:$B$88=A104)*($D$83:$D$88="Other taxable income")*$C$83:$C$88)*O104</f>
        <v/>
      </c>
      <c r="AJ104" s="15">
        <f>SUMPRODUCT(($B$83:$B$88=A104)*($D$83:$D$88="Tax-free money in")*$C$83:$C$88)*O104</f>
        <v/>
      </c>
      <c r="AK104" s="15">
        <f>SUMPRODUCT(($B$83:$B$88=A104)*($D$83:$D$88="Expense")*$C$83:$C$88)*O104</f>
        <v/>
      </c>
      <c r="AL104" s="12">
        <f>IF(OR($B$75="",A104&lt;$B$75),1,0)</f>
        <v/>
      </c>
      <c r="AM104" s="15">
        <f>AP103</f>
        <v/>
      </c>
      <c r="AN104" s="15">
        <f>AL104*AM104*properties!$J$2</f>
        <v/>
      </c>
      <c r="AO104" s="15">
        <f>AL104*MIN(properties!$K$2,AM104+AN104)</f>
        <v/>
      </c>
      <c r="AP104" s="15">
        <f>AL104*(AM104+AN104-AO104)</f>
        <v/>
      </c>
      <c r="AQ104" s="15">
        <f>AL104*properties!$G$2*O104</f>
        <v/>
      </c>
      <c r="AR104" s="15">
        <f>(1-AL104)*$E$75*O104</f>
        <v/>
      </c>
      <c r="AS104" s="15">
        <f>AO104+AQ104+AR104</f>
        <v/>
      </c>
      <c r="AT104" s="15">
        <f>SUMIF(budget!$A$2:$A$300,"household",budget!$F$2:$F$300)*O104*IF(N104="",1,N104)</f>
        <v/>
      </c>
      <c r="AU104" s="15">
        <f>SUMPRODUCT((other_budget!$C$2:$C$30&lt;=A104)*(other_budget!$D$2:$D$30&gt;=A104)*other_budget!$B$2:$B$30)*O104</f>
        <v/>
      </c>
      <c r="AV104" s="15">
        <f>SUMPRODUCT((kids_budget!$D$2:$D$40&lt;=A104)*(kids_budget!$E$2:$E$40&gt;=A104)*(kids_budget!$G$2:$G$40&lt;&gt;"college_funds")*kids_budget!$C$2:$C$40*((kids_budget!$F$2:$F$40="college")*R104+(kids_budget!$F$2:$F$40&lt;&gt;"college")*O104))</f>
        <v/>
      </c>
      <c r="AW104" s="15">
        <f>SUMPRODUCT((kids_budget!$D$2:$D$40&lt;=A104)*(kids_budget!$E$2:$E$40&gt;=A104)*(kids_budget!$G$2:$G$40="college_funds")*kids_budget!$C$2:$C$40*((kids_budget!$F$2:$F$40="college")*R104+(kids_budget!$F$2:$F$40&lt;&gt;"college")*O104))</f>
        <v/>
      </c>
      <c r="AX104" s="15">
        <f>BA103</f>
        <v/>
      </c>
      <c r="AY104" s="15">
        <f>MIN(AW104,AX104*(1+M104))</f>
        <v/>
      </c>
      <c r="AZ104" s="15">
        <f>AW104-AY104</f>
        <v/>
      </c>
      <c r="BA104" s="15">
        <f>AX104*(1+M104)-AY104</f>
        <v/>
      </c>
      <c r="BB104" s="15">
        <f>V104*healthcare!$B$5*Q104</f>
        <v/>
      </c>
      <c r="BC104" s="12">
        <f>(1-V104)*((B104&lt;65)+(C104&lt;65))</f>
        <v/>
      </c>
      <c r="BD104" s="12">
        <f>COUNTIF(household!$C$16:$C$23,"&gt;="&amp;A104)</f>
        <v/>
      </c>
      <c r="BE104" s="15">
        <f>(BC104*healthcare!$B$2+IF(BC104&gt;0,BD104,0)*healthcare!$B$3)*12*Q104</f>
        <v/>
      </c>
      <c r="BF104" s="15">
        <f>IF(BC104&gt;0,(BC104+BD104)*healthcare!$B$4*Q104,0)</f>
        <v/>
      </c>
      <c r="BG104" s="12">
        <f>(B104&gt;=65)+(C104&gt;=65)</f>
        <v/>
      </c>
      <c r="BH104" s="15">
        <f>BG104*(healthcare!$B$6+healthcare!$B$7+healthcare!$B$8)*12*Q104</f>
        <v/>
      </c>
      <c r="BI104" s="15">
        <f>BG104*healthcare!$B$9*Q104</f>
        <v/>
      </c>
      <c r="BJ104" s="15">
        <f>BG104*12*O104*SUMPRODUCT((DK102&gt;tax_tables!$Q$5:$Q$9*P104)*tax_tables!$T$5:$T$9)</f>
        <v/>
      </c>
      <c r="BK104" s="12">
        <f>AND(B104&gt;=$B$51,B104&lt;$B$51+$B$52)*1+AND(C104&gt;=$B$53,C104&lt;$B$53+$B$54)*1</f>
        <v/>
      </c>
      <c r="BL104" s="15">
        <f>BK104*$B$55*S104</f>
        <v/>
      </c>
      <c r="BM104" s="15">
        <f>BB104+BE104+BF104+BH104+BI104+BJ104+BL104</f>
        <v/>
      </c>
      <c r="BN104" s="15">
        <f>BP103</f>
        <v/>
      </c>
      <c r="BO104" s="15">
        <f>IF(V104=1,0,MIN(BN104*(1+M104),BF104+BG104*(healthcare!$B$6+healthcare!$B$7)*12*Q104+BI104+BJ104+BL104))</f>
        <v/>
      </c>
      <c r="BP104" s="15">
        <f>BN104*(1+M104)-BO104+AC104-CV104</f>
        <v/>
      </c>
      <c r="BQ104" s="15">
        <f>SUMPRODUCT((1-($B$76:$B$79&gt;0)*(A104&gt;=$B$76:$B$79))*(1-(($C$76:$C$79&gt;0)*(A104&gt;=$C$76:$C$79)))*(properties!$L$3:$L$6-properties!$M$3:$M$6))*O104+SUMPRODUCT((1-($B$76:$B$79&gt;0)*(A104&gt;=$B$76:$B$79))*(($C$76:$C$79&gt;0)*(A104&gt;=$C$76:$C$79))*($D$76:$D$79-$E$76:$E$79))*O104</f>
        <v/>
      </c>
      <c r="BR104" s="15">
        <f>SUMPRODUCT((1-($B$76:$B$79&gt;0)*(A104&gt;=$B$76:$B$79))*properties!$N$3:$N$6*(A104&lt;=properties!$O$3:$O$6))</f>
        <v/>
      </c>
      <c r="BS104" s="15">
        <f>MAX(0,BQ104-BR104)</f>
        <v/>
      </c>
      <c r="BT104" s="15">
        <f>SUMPRODUCT(($B$75:$B$79=A104)*$G$75:$G$79)</f>
        <v/>
      </c>
      <c r="BU104" s="15">
        <f>SUMPRODUCT(($B$75:$B$79=A104)*$H$75:$H$79)</f>
        <v/>
      </c>
      <c r="BV104" s="15">
        <f>SUMPRODUCT(($B$75:$B$79=A104)*$I$75:$I$79)</f>
        <v/>
      </c>
      <c r="BW104" s="15">
        <f>AL104*properties!$C$2*(1+properties!$D$2)^(A104-household!$B$4+1)</f>
        <v/>
      </c>
      <c r="BX104" s="15">
        <f>SUMPRODUCT((1-($B$76:$B$79&gt;0)*(A104&gt;=$B$76:$B$79))*properties!$C$3:$C$6*(1+properties!$D$3:$D$6)^(A104-household!$B$4+1))</f>
        <v/>
      </c>
      <c r="BY104" s="15">
        <f>IF(A104&gt;=$B$31,IF(A104&gt;=$B$32,MAX(household!$B$11*12*(1-$B$28)*O104*IF(A104&gt;=$B$30,1-$B$29,1)*$B$33,0.5*household!$B$12*12*(1-$B$28)*O104*IF(A104&gt;=$B$30,1-$B$29,1)*$B$35),household!$B$11*12*(1-$B$28)*O104*IF(A104&gt;=$B$30,1-$B$29,1)*$B$33),0)</f>
        <v/>
      </c>
      <c r="BZ104" s="15">
        <f>IF(A104&gt;=$B$32,IF(A104&gt;=$B$31,MAX(household!$B$12*12*(1-$B$28)*O104*IF(A104&gt;=$B$30,1-$B$29,1)*$B$34,0.5*household!$B$11*12*(1-$B$28)*O104*IF(A104&gt;=$B$30,1-$B$29,1)*$B$36),household!$B$12*12*(1-$B$28)*O104*IF(A104&gt;=$B$30,1-$B$29,1)*$B$34),0)</f>
        <v/>
      </c>
      <c r="CA104" s="15">
        <f>IF(AND($B$43&lt;&gt;0,A104&gt;=household!$B$6+$B$44),$B$43*(1+$B$18)^(MAX(household!$B$6+$B$44,household!$B$4-1)-household!$B$4+1)*(1+$B$47*$B$18)^(A104-MAX(household!$B$6+$B$44,household!$B$4-1)),0)</f>
        <v/>
      </c>
      <c r="CB104" s="15">
        <f>IF(AND($B$45&lt;&gt;0,A104&gt;=household!$B$9+$B$46),$B$45*(1+$B$18)^(MAX(household!$B$9+$B$46,household!$B$4-1)-household!$B$4+1)*(1+$B$47*$B$18)^(A104-MAX(household!$B$9+$B$46,household!$B$4-1)),0)</f>
        <v/>
      </c>
      <c r="CC104" s="15">
        <f>DC103</f>
        <v/>
      </c>
      <c r="CD104" s="15">
        <f>DD103</f>
        <v/>
      </c>
      <c r="CE104" s="15">
        <f>$B$20*CC104</f>
        <v/>
      </c>
      <c r="CF104" s="15">
        <f>DE103</f>
        <v/>
      </c>
      <c r="CG104" s="15">
        <f>DF103</f>
        <v/>
      </c>
      <c r="CH104" s="15">
        <f>IF(B104&gt;=$B$71,MAX(0,CF104)/INDEX(tax_tables!$Z$5:$Z$53,MATCH(B104,tax_tables!$Y$5:$Y$53,0)),0)</f>
        <v/>
      </c>
      <c r="CI104" s="15">
        <f>IF(C104&gt;=$B$72,MAX(0,CG104)/INDEX(tax_tables!$Z$5:$Z$53,MATCH(C104,tax_tables!$Y$5:$Y$53,0)),0)</f>
        <v/>
      </c>
      <c r="CJ104" s="15">
        <f>DG103</f>
        <v/>
      </c>
      <c r="CK104" s="15">
        <f>IF(OR($B$59="",$B$60=""),0,IF(AND(A104&gt;=$B$59,A104&lt;=$B$60),$B$58*O104,0))</f>
        <v/>
      </c>
      <c r="CL104" s="15">
        <f>MAX(0,CF104*(1+M104)-CH104)</f>
        <v/>
      </c>
      <c r="CM104" s="15">
        <f>MAX(0,CG104*(1+M104)-CI104)</f>
        <v/>
      </c>
      <c r="CN104" s="15">
        <f>EB103-AG103</f>
        <v/>
      </c>
      <c r="CO104" s="15">
        <f>AH104+F104+CA104+CB104+BQ104+CE104+CH104+CI104+BT104+AI104+AJ104+BO104</f>
        <v/>
      </c>
      <c r="CP104" s="15">
        <f>D104+CN104-CO104</f>
        <v/>
      </c>
      <c r="CQ104" s="15">
        <f>MAX(0,MIN(CP104,CC104*(1+M104-$B$20)))</f>
        <v/>
      </c>
      <c r="CR104" s="15">
        <f>MAX(0,MIN(CP104-CQ104,CL104+CM104))</f>
        <v/>
      </c>
      <c r="CS104" s="15">
        <f>IF(CL104+CM104&gt;1,CR104*CL104/(CL104+CM104),0)</f>
        <v/>
      </c>
      <c r="CT104" s="15">
        <f>CR104-CS104</f>
        <v/>
      </c>
      <c r="CU104" s="15">
        <f>MAX(0,MIN(CP104-CQ104-CR104,CJ104*(1+M104)))</f>
        <v/>
      </c>
      <c r="CV104" s="15">
        <f>MAX(0,MIN(CP104-CQ104-CR104-CU104,BN104*(1+M104)-BO104+AC104))</f>
        <v/>
      </c>
      <c r="CW104" s="15">
        <f>MAX(0,-CP104)</f>
        <v/>
      </c>
      <c r="CX104" s="15">
        <f>MIN(CK104,CL104-CS104+CM104-CT104)</f>
        <v/>
      </c>
      <c r="CY104" s="15">
        <f>IF(CL104-CS104+CM104-CT104&gt;1,CX104*(CL104-CS104)/(CL104-CS104+CM104-CT104),0)</f>
        <v/>
      </c>
      <c r="CZ104" s="15">
        <f>CX104-CY104</f>
        <v/>
      </c>
      <c r="DA104" s="22">
        <f>IF(CC104&gt;0,MAX(0,1-CD104/CC104),0)</f>
        <v/>
      </c>
      <c r="DB104" s="15">
        <f>CQ104*DA104</f>
        <v/>
      </c>
      <c r="DC104" s="15">
        <f>CC104*(1+M104-$B$20)-CQ104+CW104</f>
        <v/>
      </c>
      <c r="DD104" s="15">
        <f>CD104-(CQ104-DB104)+CW104</f>
        <v/>
      </c>
      <c r="DE104" s="15">
        <f>CF104*(1+M104)-CH104-CS104-CY104+Y104+AA104</f>
        <v/>
      </c>
      <c r="DF104" s="15">
        <f>CG104*(1+M104)-CI104-CT104-CZ104+Z104+AB104</f>
        <v/>
      </c>
      <c r="DG104" s="15">
        <f>CJ104*(1+M104)-CU104+CX104</f>
        <v/>
      </c>
      <c r="DH104" s="15">
        <f>AE104+CR104+CH104+CI104+CX104+CV104+BS104+AI104+CA104+CB104</f>
        <v/>
      </c>
      <c r="DI104" s="15">
        <f>CE104+DB104+BU104</f>
        <v/>
      </c>
      <c r="DJ104" s="15">
        <f>IF((DH104+DI104+0.5*F104)&lt;=tax_tables!$B$14,0,IF((DH104+DI104+0.5*F104)&lt;=tax_tables!$B$15,MIN(0.5*F104,0.5*((DH104+DI104+0.5*F104)-tax_tables!$B$14)),MIN(0.85*F104,0.85*((DH104+DI104+0.5*F104)-tax_tables!$B$15)+MIN(0.5*F104,tax_tables!$B$15-tax_tables!$B$14))))</f>
        <v/>
      </c>
      <c r="DK104" s="15">
        <f>DH104+DI104+DJ104</f>
        <v/>
      </c>
      <c r="DL104" s="12">
        <f>(B104&gt;=65)+(C104&gt;=65)</f>
        <v/>
      </c>
      <c r="DM104" s="15">
        <f>(tax_tables!$B$5+tax_tables!$B$6*DL104)*P104</f>
        <v/>
      </c>
      <c r="DN104" s="15">
        <f>IF(AND(A104&gt;=tax_tables!$B$8,A104&lt;=tax_tables!$B$9),DL104*MAX(0,tax_tables!$B$7-tax_tables!$B$11*MAX(0,DK104-tax_tables!$B$10)),0)</f>
        <v/>
      </c>
      <c r="DO104" s="15">
        <f>IFERROR(MAX(tax_tables!$B$16,INDEX(tax_tables!$W$5:$W$8,MATCH(A104,tax_tables!$V$5:$V$8,0))-tax_tables!$B$18*MAX(0,DK104-tax_tables!$B$17*1.01^(A104-tax_tables!$B$4))),tax_tables!$B$16)</f>
        <v/>
      </c>
      <c r="DP104" s="15">
        <f>MAX(0,BM104-BB104-tax_tables!$B$23*DK104)</f>
        <v/>
      </c>
      <c r="DQ104" s="15">
        <f>AN104+MIN(DO104,DY103+DZ103+EA103+AL104*properties!$H$2*O104)+DP104+$B$61*O104</f>
        <v/>
      </c>
      <c r="DR104" s="15">
        <f>MAX(DM104,DQ104)</f>
        <v/>
      </c>
      <c r="DS104" s="15">
        <f>MAX(0,DH104+DJ104-DR104-DN104)</f>
        <v/>
      </c>
      <c r="DT104" s="15">
        <f>MAX(0,DI104-MAX(0,DR104+DN104-DH104-DJ104))</f>
        <v/>
      </c>
      <c r="DU104" s="15">
        <f>SUMPRODUCT((DS104&gt;tax_tables!$E$5:$E$16*P104)*(DS104-tax_tables!$E$5:$E$16*P104)*tax_tables!$G$5:$G$16)+SUMPRODUCT(((DS104+DT104)&gt;tax_tables!$I$5:$I$16*P104)*((DS104+DT104)-tax_tables!$I$5:$I$16*P104)*tax_tables!$K$5:$K$16)-SUMPRODUCT((DS104&gt;tax_tables!$I$5:$I$16*P104)*(DS104-tax_tables!$I$5:$I$16*P104)*tax_tables!$K$5:$K$16)+tax_tables!$B$19*BV104+tax_tables!$B$12*MIN(CE104+DB104+BS104+BU104,MAX(0,DK104-tax_tables!$B$13))</f>
        <v/>
      </c>
      <c r="DV104" s="12">
        <f>IF($B$39="",0,IF(A104&gt;=$B$39,1,0))</f>
        <v/>
      </c>
      <c r="DW104" s="15">
        <f>IF(B104+0.5&gt;=tax_tables!$B$30,MIN(CS104+CH104+CY104+CA104,tax_tables!$B$29),0)+IF(C104+0.5&gt;=tax_tables!$B$30,MIN(CT104+CI104+CZ104+CB104,tax_tables!$B$29),0)</f>
        <v/>
      </c>
      <c r="DX104" s="15">
        <f>MAX(0,DK104-tax_tables!$B$28*DJ104-DW104-tax_tables!$B$26*IF(tax_tables!$B$27=1,P104,1))</f>
        <v/>
      </c>
      <c r="DY104" s="15">
        <f>(1-DV104)*SUMPRODUCT((DX104&gt;tax_tables!$M$5:$M$16*IF(tax_tables!$B$27=1,P104,1))*(DX104-tax_tables!$M$5:$M$16*IF(tax_tables!$B$27=1,P104,1))*tax_tables!$O$5:$O$16)</f>
        <v/>
      </c>
      <c r="DZ104" s="15">
        <f>(1-DV104)*tax_tables!$B$31*DX104</f>
        <v/>
      </c>
      <c r="EA104" s="15">
        <f>DV104*$B$40*MAX(0,DK104-DJ104)</f>
        <v/>
      </c>
      <c r="EB104" s="15">
        <f>DU104+DY104+DZ104+EA104</f>
        <v/>
      </c>
      <c r="EC104" s="15">
        <f>DC104+DE104+DF104+DG104+BP104</f>
        <v/>
      </c>
      <c r="ED104" s="15">
        <f>EC104+BW104-AP104+BX104</f>
        <v/>
      </c>
    </row>
    <row r="105">
      <c r="A105" s="12">
        <f>A104+1</f>
        <v/>
      </c>
      <c r="B105" s="12">
        <f>A105-household!$B$6</f>
        <v/>
      </c>
      <c r="C105" s="12">
        <f>A105-household!$B$9</f>
        <v/>
      </c>
      <c r="D105" s="15">
        <f>AS105+AT105+AU105+AV105+AZ105+BM105+AK105</f>
        <v/>
      </c>
      <c r="E105" s="15">
        <f>CN105+AG105+AF105</f>
        <v/>
      </c>
      <c r="F105" s="15">
        <f>BY105+BZ105</f>
        <v/>
      </c>
      <c r="G105" s="15">
        <f>CQ105+CR105+CU105+CH105+CI105+CE105-CW105+CV105+BO105</f>
        <v/>
      </c>
      <c r="H105" s="22">
        <f>IF(CC105+CF105+CG105+CJ105+BN105&lt;=0,"",G105/(CC105+CF105+CG105+CJ105+BN105))</f>
        <v/>
      </c>
      <c r="I105" s="23">
        <f>EC105/O105</f>
        <v/>
      </c>
      <c r="J105" s="23">
        <f>ED105/O105</f>
        <v/>
      </c>
      <c r="K105" s="15">
        <f>MAX(0,CP105-CQ105-CR105-CU105-CV105)</f>
        <v/>
      </c>
      <c r="L105" s="11" t="n"/>
      <c r="M105" s="22">
        <f>IF(L105="",$B$19,L105)</f>
        <v/>
      </c>
      <c r="N105" s="14" t="n"/>
      <c r="O105" s="13">
        <f>(1+$B$18)^(A105-household!$B$4+1)</f>
        <v/>
      </c>
      <c r="P105" s="13">
        <f>(1+$B$18)^(A105-tax_tables!$B$4)</f>
        <v/>
      </c>
      <c r="Q105" s="13">
        <f>(1+$B$21)^(A105-household!$B$4+1)</f>
        <v/>
      </c>
      <c r="R105" s="13">
        <f>(1+$B$22)^(A105-household!$B$4+1)</f>
        <v/>
      </c>
      <c r="S105" s="13">
        <f>(1+$B$23)^(A105-household!$B$4+1)</f>
        <v/>
      </c>
      <c r="T105" s="12">
        <f>IF(A105&lt;$B$5,1,0)</f>
        <v/>
      </c>
      <c r="U105" s="12">
        <f>IF(A105&lt;$B$6,1,0)</f>
        <v/>
      </c>
      <c r="V105" s="12">
        <f>IF(T105+U105&gt;0,1,0)</f>
        <v/>
      </c>
      <c r="W105" s="15">
        <f>T105*$B$7*O105+SUMPRODUCT(($B$83:$B$88=A105)*($D$83:$D$88="Wages: person 1")*$C$83:$C$88)*O105</f>
        <v/>
      </c>
      <c r="X105" s="15">
        <f>U105*$B$8*O105+SUMPRODUCT(($B$83:$B$88=A105)*($D$83:$D$88="Wages: person 2")*$C$83:$C$88)*O105</f>
        <v/>
      </c>
      <c r="Y105" s="15">
        <f>T105*$B$9*O105</f>
        <v/>
      </c>
      <c r="Z105" s="15">
        <f>U105*$B$10*O105</f>
        <v/>
      </c>
      <c r="AA105" s="15">
        <f>T105*$B$11*O105</f>
        <v/>
      </c>
      <c r="AB105" s="15">
        <f>U105*$B$12*O105</f>
        <v/>
      </c>
      <c r="AC105" s="15">
        <f>V105*$B$13*O105</f>
        <v/>
      </c>
      <c r="AD105" s="15">
        <f>W105+X105</f>
        <v/>
      </c>
      <c r="AE105" s="15">
        <f>AD105-Y105-Z105-AC105</f>
        <v/>
      </c>
      <c r="AF105" s="15">
        <f>0.062*MIN(W105,tax_tables!$B$21*P105)+0.062*MIN(X105,tax_tables!$B$21*P105)+0.0145*AD105+0.009*MAX(0,AD105-tax_tables!$B$22)</f>
        <v/>
      </c>
      <c r="AG105" s="15">
        <f>$B$14*AE105</f>
        <v/>
      </c>
      <c r="AH105" s="15">
        <f>AD105-Y105-Z105-AC105-AF105-AG105</f>
        <v/>
      </c>
      <c r="AI105" s="15">
        <f>SUMPRODUCT(($B$83:$B$88=A105)*($D$83:$D$88="Other taxable income")*$C$83:$C$88)*O105</f>
        <v/>
      </c>
      <c r="AJ105" s="15">
        <f>SUMPRODUCT(($B$83:$B$88=A105)*($D$83:$D$88="Tax-free money in")*$C$83:$C$88)*O105</f>
        <v/>
      </c>
      <c r="AK105" s="15">
        <f>SUMPRODUCT(($B$83:$B$88=A105)*($D$83:$D$88="Expense")*$C$83:$C$88)*O105</f>
        <v/>
      </c>
      <c r="AL105" s="12">
        <f>IF(OR($B$75="",A105&lt;$B$75),1,0)</f>
        <v/>
      </c>
      <c r="AM105" s="15">
        <f>AP104</f>
        <v/>
      </c>
      <c r="AN105" s="15">
        <f>AL105*AM105*properties!$J$2</f>
        <v/>
      </c>
      <c r="AO105" s="15">
        <f>AL105*MIN(properties!$K$2,AM105+AN105)</f>
        <v/>
      </c>
      <c r="AP105" s="15">
        <f>AL105*(AM105+AN105-AO105)</f>
        <v/>
      </c>
      <c r="AQ105" s="15">
        <f>AL105*properties!$G$2*O105</f>
        <v/>
      </c>
      <c r="AR105" s="15">
        <f>(1-AL105)*$E$75*O105</f>
        <v/>
      </c>
      <c r="AS105" s="15">
        <f>AO105+AQ105+AR105</f>
        <v/>
      </c>
      <c r="AT105" s="15">
        <f>SUMIF(budget!$A$2:$A$300,"household",budget!$F$2:$F$300)*O105*IF(N105="",1,N105)</f>
        <v/>
      </c>
      <c r="AU105" s="15">
        <f>SUMPRODUCT((other_budget!$C$2:$C$30&lt;=A105)*(other_budget!$D$2:$D$30&gt;=A105)*other_budget!$B$2:$B$30)*O105</f>
        <v/>
      </c>
      <c r="AV105" s="15">
        <f>SUMPRODUCT((kids_budget!$D$2:$D$40&lt;=A105)*(kids_budget!$E$2:$E$40&gt;=A105)*(kids_budget!$G$2:$G$40&lt;&gt;"college_funds")*kids_budget!$C$2:$C$40*((kids_budget!$F$2:$F$40="college")*R105+(kids_budget!$F$2:$F$40&lt;&gt;"college")*O105))</f>
        <v/>
      </c>
      <c r="AW105" s="15">
        <f>SUMPRODUCT((kids_budget!$D$2:$D$40&lt;=A105)*(kids_budget!$E$2:$E$40&gt;=A105)*(kids_budget!$G$2:$G$40="college_funds")*kids_budget!$C$2:$C$40*((kids_budget!$F$2:$F$40="college")*R105+(kids_budget!$F$2:$F$40&lt;&gt;"college")*O105))</f>
        <v/>
      </c>
      <c r="AX105" s="15">
        <f>BA104</f>
        <v/>
      </c>
      <c r="AY105" s="15">
        <f>MIN(AW105,AX105*(1+M105))</f>
        <v/>
      </c>
      <c r="AZ105" s="15">
        <f>AW105-AY105</f>
        <v/>
      </c>
      <c r="BA105" s="15">
        <f>AX105*(1+M105)-AY105</f>
        <v/>
      </c>
      <c r="BB105" s="15">
        <f>V105*healthcare!$B$5*Q105</f>
        <v/>
      </c>
      <c r="BC105" s="12">
        <f>(1-V105)*((B105&lt;65)+(C105&lt;65))</f>
        <v/>
      </c>
      <c r="BD105" s="12">
        <f>COUNTIF(household!$C$16:$C$23,"&gt;="&amp;A105)</f>
        <v/>
      </c>
      <c r="BE105" s="15">
        <f>(BC105*healthcare!$B$2+IF(BC105&gt;0,BD105,0)*healthcare!$B$3)*12*Q105</f>
        <v/>
      </c>
      <c r="BF105" s="15">
        <f>IF(BC105&gt;0,(BC105+BD105)*healthcare!$B$4*Q105,0)</f>
        <v/>
      </c>
      <c r="BG105" s="12">
        <f>(B105&gt;=65)+(C105&gt;=65)</f>
        <v/>
      </c>
      <c r="BH105" s="15">
        <f>BG105*(healthcare!$B$6+healthcare!$B$7+healthcare!$B$8)*12*Q105</f>
        <v/>
      </c>
      <c r="BI105" s="15">
        <f>BG105*healthcare!$B$9*Q105</f>
        <v/>
      </c>
      <c r="BJ105" s="15">
        <f>BG105*12*O105*SUMPRODUCT((DK103&gt;tax_tables!$Q$5:$Q$9*P105)*tax_tables!$T$5:$T$9)</f>
        <v/>
      </c>
      <c r="BK105" s="12">
        <f>AND(B105&gt;=$B$51,B105&lt;$B$51+$B$52)*1+AND(C105&gt;=$B$53,C105&lt;$B$53+$B$54)*1</f>
        <v/>
      </c>
      <c r="BL105" s="15">
        <f>BK105*$B$55*S105</f>
        <v/>
      </c>
      <c r="BM105" s="15">
        <f>BB105+BE105+BF105+BH105+BI105+BJ105+BL105</f>
        <v/>
      </c>
      <c r="BN105" s="15">
        <f>BP104</f>
        <v/>
      </c>
      <c r="BO105" s="15">
        <f>IF(V105=1,0,MIN(BN105*(1+M105),BF105+BG105*(healthcare!$B$6+healthcare!$B$7)*12*Q105+BI105+BJ105+BL105))</f>
        <v/>
      </c>
      <c r="BP105" s="15">
        <f>BN105*(1+M105)-BO105+AC105-CV105</f>
        <v/>
      </c>
      <c r="BQ105" s="15">
        <f>SUMPRODUCT((1-($B$76:$B$79&gt;0)*(A105&gt;=$B$76:$B$79))*(1-(($C$76:$C$79&gt;0)*(A105&gt;=$C$76:$C$79)))*(properties!$L$3:$L$6-properties!$M$3:$M$6))*O105+SUMPRODUCT((1-($B$76:$B$79&gt;0)*(A105&gt;=$B$76:$B$79))*(($C$76:$C$79&gt;0)*(A105&gt;=$C$76:$C$79))*($D$76:$D$79-$E$76:$E$79))*O105</f>
        <v/>
      </c>
      <c r="BR105" s="15">
        <f>SUMPRODUCT((1-($B$76:$B$79&gt;0)*(A105&gt;=$B$76:$B$79))*properties!$N$3:$N$6*(A105&lt;=properties!$O$3:$O$6))</f>
        <v/>
      </c>
      <c r="BS105" s="15">
        <f>MAX(0,BQ105-BR105)</f>
        <v/>
      </c>
      <c r="BT105" s="15">
        <f>SUMPRODUCT(($B$75:$B$79=A105)*$G$75:$G$79)</f>
        <v/>
      </c>
      <c r="BU105" s="15">
        <f>SUMPRODUCT(($B$75:$B$79=A105)*$H$75:$H$79)</f>
        <v/>
      </c>
      <c r="BV105" s="15">
        <f>SUMPRODUCT(($B$75:$B$79=A105)*$I$75:$I$79)</f>
        <v/>
      </c>
      <c r="BW105" s="15">
        <f>AL105*properties!$C$2*(1+properties!$D$2)^(A105-household!$B$4+1)</f>
        <v/>
      </c>
      <c r="BX105" s="15">
        <f>SUMPRODUCT((1-($B$76:$B$79&gt;0)*(A105&gt;=$B$76:$B$79))*properties!$C$3:$C$6*(1+properties!$D$3:$D$6)^(A105-household!$B$4+1))</f>
        <v/>
      </c>
      <c r="BY105" s="15">
        <f>IF(A105&gt;=$B$31,IF(A105&gt;=$B$32,MAX(household!$B$11*12*(1-$B$28)*O105*IF(A105&gt;=$B$30,1-$B$29,1)*$B$33,0.5*household!$B$12*12*(1-$B$28)*O105*IF(A105&gt;=$B$30,1-$B$29,1)*$B$35),household!$B$11*12*(1-$B$28)*O105*IF(A105&gt;=$B$30,1-$B$29,1)*$B$33),0)</f>
        <v/>
      </c>
      <c r="BZ105" s="15">
        <f>IF(A105&gt;=$B$32,IF(A105&gt;=$B$31,MAX(household!$B$12*12*(1-$B$28)*O105*IF(A105&gt;=$B$30,1-$B$29,1)*$B$34,0.5*household!$B$11*12*(1-$B$28)*O105*IF(A105&gt;=$B$30,1-$B$29,1)*$B$36),household!$B$12*12*(1-$B$28)*O105*IF(A105&gt;=$B$30,1-$B$29,1)*$B$34),0)</f>
        <v/>
      </c>
      <c r="CA105" s="15">
        <f>IF(AND($B$43&lt;&gt;0,A105&gt;=household!$B$6+$B$44),$B$43*(1+$B$18)^(MAX(household!$B$6+$B$44,household!$B$4-1)-household!$B$4+1)*(1+$B$47*$B$18)^(A105-MAX(household!$B$6+$B$44,household!$B$4-1)),0)</f>
        <v/>
      </c>
      <c r="CB105" s="15">
        <f>IF(AND($B$45&lt;&gt;0,A105&gt;=household!$B$9+$B$46),$B$45*(1+$B$18)^(MAX(household!$B$9+$B$46,household!$B$4-1)-household!$B$4+1)*(1+$B$47*$B$18)^(A105-MAX(household!$B$9+$B$46,household!$B$4-1)),0)</f>
        <v/>
      </c>
      <c r="CC105" s="15">
        <f>DC104</f>
        <v/>
      </c>
      <c r="CD105" s="15">
        <f>DD104</f>
        <v/>
      </c>
      <c r="CE105" s="15">
        <f>$B$20*CC105</f>
        <v/>
      </c>
      <c r="CF105" s="15">
        <f>DE104</f>
        <v/>
      </c>
      <c r="CG105" s="15">
        <f>DF104</f>
        <v/>
      </c>
      <c r="CH105" s="15">
        <f>IF(B105&gt;=$B$71,MAX(0,CF105)/INDEX(tax_tables!$Z$5:$Z$53,MATCH(B105,tax_tables!$Y$5:$Y$53,0)),0)</f>
        <v/>
      </c>
      <c r="CI105" s="15">
        <f>IF(C105&gt;=$B$72,MAX(0,CG105)/INDEX(tax_tables!$Z$5:$Z$53,MATCH(C105,tax_tables!$Y$5:$Y$53,0)),0)</f>
        <v/>
      </c>
      <c r="CJ105" s="15">
        <f>DG104</f>
        <v/>
      </c>
      <c r="CK105" s="15">
        <f>IF(OR($B$59="",$B$60=""),0,IF(AND(A105&gt;=$B$59,A105&lt;=$B$60),$B$58*O105,0))</f>
        <v/>
      </c>
      <c r="CL105" s="15">
        <f>MAX(0,CF105*(1+M105)-CH105)</f>
        <v/>
      </c>
      <c r="CM105" s="15">
        <f>MAX(0,CG105*(1+M105)-CI105)</f>
        <v/>
      </c>
      <c r="CN105" s="15">
        <f>EB104-AG104</f>
        <v/>
      </c>
      <c r="CO105" s="15">
        <f>AH105+F105+CA105+CB105+BQ105+CE105+CH105+CI105+BT105+AI105+AJ105+BO105</f>
        <v/>
      </c>
      <c r="CP105" s="15">
        <f>D105+CN105-CO105</f>
        <v/>
      </c>
      <c r="CQ105" s="15">
        <f>MAX(0,MIN(CP105,CC105*(1+M105-$B$20)))</f>
        <v/>
      </c>
      <c r="CR105" s="15">
        <f>MAX(0,MIN(CP105-CQ105,CL105+CM105))</f>
        <v/>
      </c>
      <c r="CS105" s="15">
        <f>IF(CL105+CM105&gt;1,CR105*CL105/(CL105+CM105),0)</f>
        <v/>
      </c>
      <c r="CT105" s="15">
        <f>CR105-CS105</f>
        <v/>
      </c>
      <c r="CU105" s="15">
        <f>MAX(0,MIN(CP105-CQ105-CR105,CJ105*(1+M105)))</f>
        <v/>
      </c>
      <c r="CV105" s="15">
        <f>MAX(0,MIN(CP105-CQ105-CR105-CU105,BN105*(1+M105)-BO105+AC105))</f>
        <v/>
      </c>
      <c r="CW105" s="15">
        <f>MAX(0,-CP105)</f>
        <v/>
      </c>
      <c r="CX105" s="15">
        <f>MIN(CK105,CL105-CS105+CM105-CT105)</f>
        <v/>
      </c>
      <c r="CY105" s="15">
        <f>IF(CL105-CS105+CM105-CT105&gt;1,CX105*(CL105-CS105)/(CL105-CS105+CM105-CT105),0)</f>
        <v/>
      </c>
      <c r="CZ105" s="15">
        <f>CX105-CY105</f>
        <v/>
      </c>
      <c r="DA105" s="22">
        <f>IF(CC105&gt;0,MAX(0,1-CD105/CC105),0)</f>
        <v/>
      </c>
      <c r="DB105" s="15">
        <f>CQ105*DA105</f>
        <v/>
      </c>
      <c r="DC105" s="15">
        <f>CC105*(1+M105-$B$20)-CQ105+CW105</f>
        <v/>
      </c>
      <c r="DD105" s="15">
        <f>CD105-(CQ105-DB105)+CW105</f>
        <v/>
      </c>
      <c r="DE105" s="15">
        <f>CF105*(1+M105)-CH105-CS105-CY105+Y105+AA105</f>
        <v/>
      </c>
      <c r="DF105" s="15">
        <f>CG105*(1+M105)-CI105-CT105-CZ105+Z105+AB105</f>
        <v/>
      </c>
      <c r="DG105" s="15">
        <f>CJ105*(1+M105)-CU105+CX105</f>
        <v/>
      </c>
      <c r="DH105" s="15">
        <f>AE105+CR105+CH105+CI105+CX105+CV105+BS105+AI105+CA105+CB105</f>
        <v/>
      </c>
      <c r="DI105" s="15">
        <f>CE105+DB105+BU105</f>
        <v/>
      </c>
      <c r="DJ105" s="15">
        <f>IF((DH105+DI105+0.5*F105)&lt;=tax_tables!$B$14,0,IF((DH105+DI105+0.5*F105)&lt;=tax_tables!$B$15,MIN(0.5*F105,0.5*((DH105+DI105+0.5*F105)-tax_tables!$B$14)),MIN(0.85*F105,0.85*((DH105+DI105+0.5*F105)-tax_tables!$B$15)+MIN(0.5*F105,tax_tables!$B$15-tax_tables!$B$14))))</f>
        <v/>
      </c>
      <c r="DK105" s="15">
        <f>DH105+DI105+DJ105</f>
        <v/>
      </c>
      <c r="DL105" s="12">
        <f>(B105&gt;=65)+(C105&gt;=65)</f>
        <v/>
      </c>
      <c r="DM105" s="15">
        <f>(tax_tables!$B$5+tax_tables!$B$6*DL105)*P105</f>
        <v/>
      </c>
      <c r="DN105" s="15">
        <f>IF(AND(A105&gt;=tax_tables!$B$8,A105&lt;=tax_tables!$B$9),DL105*MAX(0,tax_tables!$B$7-tax_tables!$B$11*MAX(0,DK105-tax_tables!$B$10)),0)</f>
        <v/>
      </c>
      <c r="DO105" s="15">
        <f>IFERROR(MAX(tax_tables!$B$16,INDEX(tax_tables!$W$5:$W$8,MATCH(A105,tax_tables!$V$5:$V$8,0))-tax_tables!$B$18*MAX(0,DK105-tax_tables!$B$17*1.01^(A105-tax_tables!$B$4))),tax_tables!$B$16)</f>
        <v/>
      </c>
      <c r="DP105" s="15">
        <f>MAX(0,BM105-BB105-tax_tables!$B$23*DK105)</f>
        <v/>
      </c>
      <c r="DQ105" s="15">
        <f>AN105+MIN(DO105,DY104+DZ104+EA104+AL105*properties!$H$2*O105)+DP105+$B$61*O105</f>
        <v/>
      </c>
      <c r="DR105" s="15">
        <f>MAX(DM105,DQ105)</f>
        <v/>
      </c>
      <c r="DS105" s="15">
        <f>MAX(0,DH105+DJ105-DR105-DN105)</f>
        <v/>
      </c>
      <c r="DT105" s="15">
        <f>MAX(0,DI105-MAX(0,DR105+DN105-DH105-DJ105))</f>
        <v/>
      </c>
      <c r="DU105" s="15">
        <f>SUMPRODUCT((DS105&gt;tax_tables!$E$5:$E$16*P105)*(DS105-tax_tables!$E$5:$E$16*P105)*tax_tables!$G$5:$G$16)+SUMPRODUCT(((DS105+DT105)&gt;tax_tables!$I$5:$I$16*P105)*((DS105+DT105)-tax_tables!$I$5:$I$16*P105)*tax_tables!$K$5:$K$16)-SUMPRODUCT((DS105&gt;tax_tables!$I$5:$I$16*P105)*(DS105-tax_tables!$I$5:$I$16*P105)*tax_tables!$K$5:$K$16)+tax_tables!$B$19*BV105+tax_tables!$B$12*MIN(CE105+DB105+BS105+BU105,MAX(0,DK105-tax_tables!$B$13))</f>
        <v/>
      </c>
      <c r="DV105" s="12">
        <f>IF($B$39="",0,IF(A105&gt;=$B$39,1,0))</f>
        <v/>
      </c>
      <c r="DW105" s="15">
        <f>IF(B105+0.5&gt;=tax_tables!$B$30,MIN(CS105+CH105+CY105+CA105,tax_tables!$B$29),0)+IF(C105+0.5&gt;=tax_tables!$B$30,MIN(CT105+CI105+CZ105+CB105,tax_tables!$B$29),0)</f>
        <v/>
      </c>
      <c r="DX105" s="15">
        <f>MAX(0,DK105-tax_tables!$B$28*DJ105-DW105-tax_tables!$B$26*IF(tax_tables!$B$27=1,P105,1))</f>
        <v/>
      </c>
      <c r="DY105" s="15">
        <f>(1-DV105)*SUMPRODUCT((DX105&gt;tax_tables!$M$5:$M$16*IF(tax_tables!$B$27=1,P105,1))*(DX105-tax_tables!$M$5:$M$16*IF(tax_tables!$B$27=1,P105,1))*tax_tables!$O$5:$O$16)</f>
        <v/>
      </c>
      <c r="DZ105" s="15">
        <f>(1-DV105)*tax_tables!$B$31*DX105</f>
        <v/>
      </c>
      <c r="EA105" s="15">
        <f>DV105*$B$40*MAX(0,DK105-DJ105)</f>
        <v/>
      </c>
      <c r="EB105" s="15">
        <f>DU105+DY105+DZ105+EA105</f>
        <v/>
      </c>
      <c r="EC105" s="15">
        <f>DC105+DE105+DF105+DG105+BP105</f>
        <v/>
      </c>
      <c r="ED105" s="15">
        <f>EC105+BW105-AP105+BX105</f>
        <v/>
      </c>
    </row>
    <row r="106">
      <c r="A106" s="12">
        <f>A105+1</f>
        <v/>
      </c>
      <c r="B106" s="12">
        <f>A106-household!$B$6</f>
        <v/>
      </c>
      <c r="C106" s="12">
        <f>A106-household!$B$9</f>
        <v/>
      </c>
      <c r="D106" s="15">
        <f>AS106+AT106+AU106+AV106+AZ106+BM106+AK106</f>
        <v/>
      </c>
      <c r="E106" s="15">
        <f>CN106+AG106+AF106</f>
        <v/>
      </c>
      <c r="F106" s="15">
        <f>BY106+BZ106</f>
        <v/>
      </c>
      <c r="G106" s="15">
        <f>CQ106+CR106+CU106+CH106+CI106+CE106-CW106+CV106+BO106</f>
        <v/>
      </c>
      <c r="H106" s="22">
        <f>IF(CC106+CF106+CG106+CJ106+BN106&lt;=0,"",G106/(CC106+CF106+CG106+CJ106+BN106))</f>
        <v/>
      </c>
      <c r="I106" s="23">
        <f>EC106/O106</f>
        <v/>
      </c>
      <c r="J106" s="23">
        <f>ED106/O106</f>
        <v/>
      </c>
      <c r="K106" s="15">
        <f>MAX(0,CP106-CQ106-CR106-CU106-CV106)</f>
        <v/>
      </c>
      <c r="L106" s="11" t="n"/>
      <c r="M106" s="22">
        <f>IF(L106="",$B$19,L106)</f>
        <v/>
      </c>
      <c r="N106" s="14" t="n"/>
      <c r="O106" s="13">
        <f>(1+$B$18)^(A106-household!$B$4+1)</f>
        <v/>
      </c>
      <c r="P106" s="13">
        <f>(1+$B$18)^(A106-tax_tables!$B$4)</f>
        <v/>
      </c>
      <c r="Q106" s="13">
        <f>(1+$B$21)^(A106-household!$B$4+1)</f>
        <v/>
      </c>
      <c r="R106" s="13">
        <f>(1+$B$22)^(A106-household!$B$4+1)</f>
        <v/>
      </c>
      <c r="S106" s="13">
        <f>(1+$B$23)^(A106-household!$B$4+1)</f>
        <v/>
      </c>
      <c r="T106" s="12">
        <f>IF(A106&lt;$B$5,1,0)</f>
        <v/>
      </c>
      <c r="U106" s="12">
        <f>IF(A106&lt;$B$6,1,0)</f>
        <v/>
      </c>
      <c r="V106" s="12">
        <f>IF(T106+U106&gt;0,1,0)</f>
        <v/>
      </c>
      <c r="W106" s="15">
        <f>T106*$B$7*O106+SUMPRODUCT(($B$83:$B$88=A106)*($D$83:$D$88="Wages: person 1")*$C$83:$C$88)*O106</f>
        <v/>
      </c>
      <c r="X106" s="15">
        <f>U106*$B$8*O106+SUMPRODUCT(($B$83:$B$88=A106)*($D$83:$D$88="Wages: person 2")*$C$83:$C$88)*O106</f>
        <v/>
      </c>
      <c r="Y106" s="15">
        <f>T106*$B$9*O106</f>
        <v/>
      </c>
      <c r="Z106" s="15">
        <f>U106*$B$10*O106</f>
        <v/>
      </c>
      <c r="AA106" s="15">
        <f>T106*$B$11*O106</f>
        <v/>
      </c>
      <c r="AB106" s="15">
        <f>U106*$B$12*O106</f>
        <v/>
      </c>
      <c r="AC106" s="15">
        <f>V106*$B$13*O106</f>
        <v/>
      </c>
      <c r="AD106" s="15">
        <f>W106+X106</f>
        <v/>
      </c>
      <c r="AE106" s="15">
        <f>AD106-Y106-Z106-AC106</f>
        <v/>
      </c>
      <c r="AF106" s="15">
        <f>0.062*MIN(W106,tax_tables!$B$21*P106)+0.062*MIN(X106,tax_tables!$B$21*P106)+0.0145*AD106+0.009*MAX(0,AD106-tax_tables!$B$22)</f>
        <v/>
      </c>
      <c r="AG106" s="15">
        <f>$B$14*AE106</f>
        <v/>
      </c>
      <c r="AH106" s="15">
        <f>AD106-Y106-Z106-AC106-AF106-AG106</f>
        <v/>
      </c>
      <c r="AI106" s="15">
        <f>SUMPRODUCT(($B$83:$B$88=A106)*($D$83:$D$88="Other taxable income")*$C$83:$C$88)*O106</f>
        <v/>
      </c>
      <c r="AJ106" s="15">
        <f>SUMPRODUCT(($B$83:$B$88=A106)*($D$83:$D$88="Tax-free money in")*$C$83:$C$88)*O106</f>
        <v/>
      </c>
      <c r="AK106" s="15">
        <f>SUMPRODUCT(($B$83:$B$88=A106)*($D$83:$D$88="Expense")*$C$83:$C$88)*O106</f>
        <v/>
      </c>
      <c r="AL106" s="12">
        <f>IF(OR($B$75="",A106&lt;$B$75),1,0)</f>
        <v/>
      </c>
      <c r="AM106" s="15">
        <f>AP105</f>
        <v/>
      </c>
      <c r="AN106" s="15">
        <f>AL106*AM106*properties!$J$2</f>
        <v/>
      </c>
      <c r="AO106" s="15">
        <f>AL106*MIN(properties!$K$2,AM106+AN106)</f>
        <v/>
      </c>
      <c r="AP106" s="15">
        <f>AL106*(AM106+AN106-AO106)</f>
        <v/>
      </c>
      <c r="AQ106" s="15">
        <f>AL106*properties!$G$2*O106</f>
        <v/>
      </c>
      <c r="AR106" s="15">
        <f>(1-AL106)*$E$75*O106</f>
        <v/>
      </c>
      <c r="AS106" s="15">
        <f>AO106+AQ106+AR106</f>
        <v/>
      </c>
      <c r="AT106" s="15">
        <f>SUMIF(budget!$A$2:$A$300,"household",budget!$F$2:$F$300)*O106*IF(N106="",1,N106)</f>
        <v/>
      </c>
      <c r="AU106" s="15">
        <f>SUMPRODUCT((other_budget!$C$2:$C$30&lt;=A106)*(other_budget!$D$2:$D$30&gt;=A106)*other_budget!$B$2:$B$30)*O106</f>
        <v/>
      </c>
      <c r="AV106" s="15">
        <f>SUMPRODUCT((kids_budget!$D$2:$D$40&lt;=A106)*(kids_budget!$E$2:$E$40&gt;=A106)*(kids_budget!$G$2:$G$40&lt;&gt;"college_funds")*kids_budget!$C$2:$C$40*((kids_budget!$F$2:$F$40="college")*R106+(kids_budget!$F$2:$F$40&lt;&gt;"college")*O106))</f>
        <v/>
      </c>
      <c r="AW106" s="15">
        <f>SUMPRODUCT((kids_budget!$D$2:$D$40&lt;=A106)*(kids_budget!$E$2:$E$40&gt;=A106)*(kids_budget!$G$2:$G$40="college_funds")*kids_budget!$C$2:$C$40*((kids_budget!$F$2:$F$40="college")*R106+(kids_budget!$F$2:$F$40&lt;&gt;"college")*O106))</f>
        <v/>
      </c>
      <c r="AX106" s="15">
        <f>BA105</f>
        <v/>
      </c>
      <c r="AY106" s="15">
        <f>MIN(AW106,AX106*(1+M106))</f>
        <v/>
      </c>
      <c r="AZ106" s="15">
        <f>AW106-AY106</f>
        <v/>
      </c>
      <c r="BA106" s="15">
        <f>AX106*(1+M106)-AY106</f>
        <v/>
      </c>
      <c r="BB106" s="15">
        <f>V106*healthcare!$B$5*Q106</f>
        <v/>
      </c>
      <c r="BC106" s="12">
        <f>(1-V106)*((B106&lt;65)+(C106&lt;65))</f>
        <v/>
      </c>
      <c r="BD106" s="12">
        <f>COUNTIF(household!$C$16:$C$23,"&gt;="&amp;A106)</f>
        <v/>
      </c>
      <c r="BE106" s="15">
        <f>(BC106*healthcare!$B$2+IF(BC106&gt;0,BD106,0)*healthcare!$B$3)*12*Q106</f>
        <v/>
      </c>
      <c r="BF106" s="15">
        <f>IF(BC106&gt;0,(BC106+BD106)*healthcare!$B$4*Q106,0)</f>
        <v/>
      </c>
      <c r="BG106" s="12">
        <f>(B106&gt;=65)+(C106&gt;=65)</f>
        <v/>
      </c>
      <c r="BH106" s="15">
        <f>BG106*(healthcare!$B$6+healthcare!$B$7+healthcare!$B$8)*12*Q106</f>
        <v/>
      </c>
      <c r="BI106" s="15">
        <f>BG106*healthcare!$B$9*Q106</f>
        <v/>
      </c>
      <c r="BJ106" s="15">
        <f>BG106*12*O106*SUMPRODUCT((DK104&gt;tax_tables!$Q$5:$Q$9*P106)*tax_tables!$T$5:$T$9)</f>
        <v/>
      </c>
      <c r="BK106" s="12">
        <f>AND(B106&gt;=$B$51,B106&lt;$B$51+$B$52)*1+AND(C106&gt;=$B$53,C106&lt;$B$53+$B$54)*1</f>
        <v/>
      </c>
      <c r="BL106" s="15">
        <f>BK106*$B$55*S106</f>
        <v/>
      </c>
      <c r="BM106" s="15">
        <f>BB106+BE106+BF106+BH106+BI106+BJ106+BL106</f>
        <v/>
      </c>
      <c r="BN106" s="15">
        <f>BP105</f>
        <v/>
      </c>
      <c r="BO106" s="15">
        <f>IF(V106=1,0,MIN(BN106*(1+M106),BF106+BG106*(healthcare!$B$6+healthcare!$B$7)*12*Q106+BI106+BJ106+BL106))</f>
        <v/>
      </c>
      <c r="BP106" s="15">
        <f>BN106*(1+M106)-BO106+AC106-CV106</f>
        <v/>
      </c>
      <c r="BQ106" s="15">
        <f>SUMPRODUCT((1-($B$76:$B$79&gt;0)*(A106&gt;=$B$76:$B$79))*(1-(($C$76:$C$79&gt;0)*(A106&gt;=$C$76:$C$79)))*(properties!$L$3:$L$6-properties!$M$3:$M$6))*O106+SUMPRODUCT((1-($B$76:$B$79&gt;0)*(A106&gt;=$B$76:$B$79))*(($C$76:$C$79&gt;0)*(A106&gt;=$C$76:$C$79))*($D$76:$D$79-$E$76:$E$79))*O106</f>
        <v/>
      </c>
      <c r="BR106" s="15">
        <f>SUMPRODUCT((1-($B$76:$B$79&gt;0)*(A106&gt;=$B$76:$B$79))*properties!$N$3:$N$6*(A106&lt;=properties!$O$3:$O$6))</f>
        <v/>
      </c>
      <c r="BS106" s="15">
        <f>MAX(0,BQ106-BR106)</f>
        <v/>
      </c>
      <c r="BT106" s="15">
        <f>SUMPRODUCT(($B$75:$B$79=A106)*$G$75:$G$79)</f>
        <v/>
      </c>
      <c r="BU106" s="15">
        <f>SUMPRODUCT(($B$75:$B$79=A106)*$H$75:$H$79)</f>
        <v/>
      </c>
      <c r="BV106" s="15">
        <f>SUMPRODUCT(($B$75:$B$79=A106)*$I$75:$I$79)</f>
        <v/>
      </c>
      <c r="BW106" s="15">
        <f>AL106*properties!$C$2*(1+properties!$D$2)^(A106-household!$B$4+1)</f>
        <v/>
      </c>
      <c r="BX106" s="15">
        <f>SUMPRODUCT((1-($B$76:$B$79&gt;0)*(A106&gt;=$B$76:$B$79))*properties!$C$3:$C$6*(1+properties!$D$3:$D$6)^(A106-household!$B$4+1))</f>
        <v/>
      </c>
      <c r="BY106" s="15">
        <f>IF(A106&gt;=$B$31,IF(A106&gt;=$B$32,MAX(household!$B$11*12*(1-$B$28)*O106*IF(A106&gt;=$B$30,1-$B$29,1)*$B$33,0.5*household!$B$12*12*(1-$B$28)*O106*IF(A106&gt;=$B$30,1-$B$29,1)*$B$35),household!$B$11*12*(1-$B$28)*O106*IF(A106&gt;=$B$30,1-$B$29,1)*$B$33),0)</f>
        <v/>
      </c>
      <c r="BZ106" s="15">
        <f>IF(A106&gt;=$B$32,IF(A106&gt;=$B$31,MAX(household!$B$12*12*(1-$B$28)*O106*IF(A106&gt;=$B$30,1-$B$29,1)*$B$34,0.5*household!$B$11*12*(1-$B$28)*O106*IF(A106&gt;=$B$30,1-$B$29,1)*$B$36),household!$B$12*12*(1-$B$28)*O106*IF(A106&gt;=$B$30,1-$B$29,1)*$B$34),0)</f>
        <v/>
      </c>
      <c r="CA106" s="15">
        <f>IF(AND($B$43&lt;&gt;0,A106&gt;=household!$B$6+$B$44),$B$43*(1+$B$18)^(MAX(household!$B$6+$B$44,household!$B$4-1)-household!$B$4+1)*(1+$B$47*$B$18)^(A106-MAX(household!$B$6+$B$44,household!$B$4-1)),0)</f>
        <v/>
      </c>
      <c r="CB106" s="15">
        <f>IF(AND($B$45&lt;&gt;0,A106&gt;=household!$B$9+$B$46),$B$45*(1+$B$18)^(MAX(household!$B$9+$B$46,household!$B$4-1)-household!$B$4+1)*(1+$B$47*$B$18)^(A106-MAX(household!$B$9+$B$46,household!$B$4-1)),0)</f>
        <v/>
      </c>
      <c r="CC106" s="15">
        <f>DC105</f>
        <v/>
      </c>
      <c r="CD106" s="15">
        <f>DD105</f>
        <v/>
      </c>
      <c r="CE106" s="15">
        <f>$B$20*CC106</f>
        <v/>
      </c>
      <c r="CF106" s="15">
        <f>DE105</f>
        <v/>
      </c>
      <c r="CG106" s="15">
        <f>DF105</f>
        <v/>
      </c>
      <c r="CH106" s="15">
        <f>IF(B106&gt;=$B$71,MAX(0,CF106)/INDEX(tax_tables!$Z$5:$Z$53,MATCH(B106,tax_tables!$Y$5:$Y$53,0)),0)</f>
        <v/>
      </c>
      <c r="CI106" s="15">
        <f>IF(C106&gt;=$B$72,MAX(0,CG106)/INDEX(tax_tables!$Z$5:$Z$53,MATCH(C106,tax_tables!$Y$5:$Y$53,0)),0)</f>
        <v/>
      </c>
      <c r="CJ106" s="15">
        <f>DG105</f>
        <v/>
      </c>
      <c r="CK106" s="15">
        <f>IF(OR($B$59="",$B$60=""),0,IF(AND(A106&gt;=$B$59,A106&lt;=$B$60),$B$58*O106,0))</f>
        <v/>
      </c>
      <c r="CL106" s="15">
        <f>MAX(0,CF106*(1+M106)-CH106)</f>
        <v/>
      </c>
      <c r="CM106" s="15">
        <f>MAX(0,CG106*(1+M106)-CI106)</f>
        <v/>
      </c>
      <c r="CN106" s="15">
        <f>EB105-AG105</f>
        <v/>
      </c>
      <c r="CO106" s="15">
        <f>AH106+F106+CA106+CB106+BQ106+CE106+CH106+CI106+BT106+AI106+AJ106+BO106</f>
        <v/>
      </c>
      <c r="CP106" s="15">
        <f>D106+CN106-CO106</f>
        <v/>
      </c>
      <c r="CQ106" s="15">
        <f>MAX(0,MIN(CP106,CC106*(1+M106-$B$20)))</f>
        <v/>
      </c>
      <c r="CR106" s="15">
        <f>MAX(0,MIN(CP106-CQ106,CL106+CM106))</f>
        <v/>
      </c>
      <c r="CS106" s="15">
        <f>IF(CL106+CM106&gt;1,CR106*CL106/(CL106+CM106),0)</f>
        <v/>
      </c>
      <c r="CT106" s="15">
        <f>CR106-CS106</f>
        <v/>
      </c>
      <c r="CU106" s="15">
        <f>MAX(0,MIN(CP106-CQ106-CR106,CJ106*(1+M106)))</f>
        <v/>
      </c>
      <c r="CV106" s="15">
        <f>MAX(0,MIN(CP106-CQ106-CR106-CU106,BN106*(1+M106)-BO106+AC106))</f>
        <v/>
      </c>
      <c r="CW106" s="15">
        <f>MAX(0,-CP106)</f>
        <v/>
      </c>
      <c r="CX106" s="15">
        <f>MIN(CK106,CL106-CS106+CM106-CT106)</f>
        <v/>
      </c>
      <c r="CY106" s="15">
        <f>IF(CL106-CS106+CM106-CT106&gt;1,CX106*(CL106-CS106)/(CL106-CS106+CM106-CT106),0)</f>
        <v/>
      </c>
      <c r="CZ106" s="15">
        <f>CX106-CY106</f>
        <v/>
      </c>
      <c r="DA106" s="22">
        <f>IF(CC106&gt;0,MAX(0,1-CD106/CC106),0)</f>
        <v/>
      </c>
      <c r="DB106" s="15">
        <f>CQ106*DA106</f>
        <v/>
      </c>
      <c r="DC106" s="15">
        <f>CC106*(1+M106-$B$20)-CQ106+CW106</f>
        <v/>
      </c>
      <c r="DD106" s="15">
        <f>CD106-(CQ106-DB106)+CW106</f>
        <v/>
      </c>
      <c r="DE106" s="15">
        <f>CF106*(1+M106)-CH106-CS106-CY106+Y106+AA106</f>
        <v/>
      </c>
      <c r="DF106" s="15">
        <f>CG106*(1+M106)-CI106-CT106-CZ106+Z106+AB106</f>
        <v/>
      </c>
      <c r="DG106" s="15">
        <f>CJ106*(1+M106)-CU106+CX106</f>
        <v/>
      </c>
      <c r="DH106" s="15">
        <f>AE106+CR106+CH106+CI106+CX106+CV106+BS106+AI106+CA106+CB106</f>
        <v/>
      </c>
      <c r="DI106" s="15">
        <f>CE106+DB106+BU106</f>
        <v/>
      </c>
      <c r="DJ106" s="15">
        <f>IF((DH106+DI106+0.5*F106)&lt;=tax_tables!$B$14,0,IF((DH106+DI106+0.5*F106)&lt;=tax_tables!$B$15,MIN(0.5*F106,0.5*((DH106+DI106+0.5*F106)-tax_tables!$B$14)),MIN(0.85*F106,0.85*((DH106+DI106+0.5*F106)-tax_tables!$B$15)+MIN(0.5*F106,tax_tables!$B$15-tax_tables!$B$14))))</f>
        <v/>
      </c>
      <c r="DK106" s="15">
        <f>DH106+DI106+DJ106</f>
        <v/>
      </c>
      <c r="DL106" s="12">
        <f>(B106&gt;=65)+(C106&gt;=65)</f>
        <v/>
      </c>
      <c r="DM106" s="15">
        <f>(tax_tables!$B$5+tax_tables!$B$6*DL106)*P106</f>
        <v/>
      </c>
      <c r="DN106" s="15">
        <f>IF(AND(A106&gt;=tax_tables!$B$8,A106&lt;=tax_tables!$B$9),DL106*MAX(0,tax_tables!$B$7-tax_tables!$B$11*MAX(0,DK106-tax_tables!$B$10)),0)</f>
        <v/>
      </c>
      <c r="DO106" s="15">
        <f>IFERROR(MAX(tax_tables!$B$16,INDEX(tax_tables!$W$5:$W$8,MATCH(A106,tax_tables!$V$5:$V$8,0))-tax_tables!$B$18*MAX(0,DK106-tax_tables!$B$17*1.01^(A106-tax_tables!$B$4))),tax_tables!$B$16)</f>
        <v/>
      </c>
      <c r="DP106" s="15">
        <f>MAX(0,BM106-BB106-tax_tables!$B$23*DK106)</f>
        <v/>
      </c>
      <c r="DQ106" s="15">
        <f>AN106+MIN(DO106,DY105+DZ105+EA105+AL106*properties!$H$2*O106)+DP106+$B$61*O106</f>
        <v/>
      </c>
      <c r="DR106" s="15">
        <f>MAX(DM106,DQ106)</f>
        <v/>
      </c>
      <c r="DS106" s="15">
        <f>MAX(0,DH106+DJ106-DR106-DN106)</f>
        <v/>
      </c>
      <c r="DT106" s="15">
        <f>MAX(0,DI106-MAX(0,DR106+DN106-DH106-DJ106))</f>
        <v/>
      </c>
      <c r="DU106" s="15">
        <f>SUMPRODUCT((DS106&gt;tax_tables!$E$5:$E$16*P106)*(DS106-tax_tables!$E$5:$E$16*P106)*tax_tables!$G$5:$G$16)+SUMPRODUCT(((DS106+DT106)&gt;tax_tables!$I$5:$I$16*P106)*((DS106+DT106)-tax_tables!$I$5:$I$16*P106)*tax_tables!$K$5:$K$16)-SUMPRODUCT((DS106&gt;tax_tables!$I$5:$I$16*P106)*(DS106-tax_tables!$I$5:$I$16*P106)*tax_tables!$K$5:$K$16)+tax_tables!$B$19*BV106+tax_tables!$B$12*MIN(CE106+DB106+BS106+BU106,MAX(0,DK106-tax_tables!$B$13))</f>
        <v/>
      </c>
      <c r="DV106" s="12">
        <f>IF($B$39="",0,IF(A106&gt;=$B$39,1,0))</f>
        <v/>
      </c>
      <c r="DW106" s="15">
        <f>IF(B106+0.5&gt;=tax_tables!$B$30,MIN(CS106+CH106+CY106+CA106,tax_tables!$B$29),0)+IF(C106+0.5&gt;=tax_tables!$B$30,MIN(CT106+CI106+CZ106+CB106,tax_tables!$B$29),0)</f>
        <v/>
      </c>
      <c r="DX106" s="15">
        <f>MAX(0,DK106-tax_tables!$B$28*DJ106-DW106-tax_tables!$B$26*IF(tax_tables!$B$27=1,P106,1))</f>
        <v/>
      </c>
      <c r="DY106" s="15">
        <f>(1-DV106)*SUMPRODUCT((DX106&gt;tax_tables!$M$5:$M$16*IF(tax_tables!$B$27=1,P106,1))*(DX106-tax_tables!$M$5:$M$16*IF(tax_tables!$B$27=1,P106,1))*tax_tables!$O$5:$O$16)</f>
        <v/>
      </c>
      <c r="DZ106" s="15">
        <f>(1-DV106)*tax_tables!$B$31*DX106</f>
        <v/>
      </c>
      <c r="EA106" s="15">
        <f>DV106*$B$40*MAX(0,DK106-DJ106)</f>
        <v/>
      </c>
      <c r="EB106" s="15">
        <f>DU106+DY106+DZ106+EA106</f>
        <v/>
      </c>
      <c r="EC106" s="15">
        <f>DC106+DE106+DF106+DG106+BP106</f>
        <v/>
      </c>
      <c r="ED106" s="15">
        <f>EC106+BW106-AP106+BX106</f>
        <v/>
      </c>
    </row>
    <row r="107">
      <c r="A107" s="12">
        <f>A106+1</f>
        <v/>
      </c>
      <c r="B107" s="12">
        <f>A107-household!$B$6</f>
        <v/>
      </c>
      <c r="C107" s="12">
        <f>A107-household!$B$9</f>
        <v/>
      </c>
      <c r="D107" s="15">
        <f>AS107+AT107+AU107+AV107+AZ107+BM107+AK107</f>
        <v/>
      </c>
      <c r="E107" s="15">
        <f>CN107+AG107+AF107</f>
        <v/>
      </c>
      <c r="F107" s="15">
        <f>BY107+BZ107</f>
        <v/>
      </c>
      <c r="G107" s="15">
        <f>CQ107+CR107+CU107+CH107+CI107+CE107-CW107+CV107+BO107</f>
        <v/>
      </c>
      <c r="H107" s="22">
        <f>IF(CC107+CF107+CG107+CJ107+BN107&lt;=0,"",G107/(CC107+CF107+CG107+CJ107+BN107))</f>
        <v/>
      </c>
      <c r="I107" s="23">
        <f>EC107/O107</f>
        <v/>
      </c>
      <c r="J107" s="23">
        <f>ED107/O107</f>
        <v/>
      </c>
      <c r="K107" s="15">
        <f>MAX(0,CP107-CQ107-CR107-CU107-CV107)</f>
        <v/>
      </c>
      <c r="L107" s="11" t="n"/>
      <c r="M107" s="22">
        <f>IF(L107="",$B$19,L107)</f>
        <v/>
      </c>
      <c r="N107" s="14" t="n"/>
      <c r="O107" s="13">
        <f>(1+$B$18)^(A107-household!$B$4+1)</f>
        <v/>
      </c>
      <c r="P107" s="13">
        <f>(1+$B$18)^(A107-tax_tables!$B$4)</f>
        <v/>
      </c>
      <c r="Q107" s="13">
        <f>(1+$B$21)^(A107-household!$B$4+1)</f>
        <v/>
      </c>
      <c r="R107" s="13">
        <f>(1+$B$22)^(A107-household!$B$4+1)</f>
        <v/>
      </c>
      <c r="S107" s="13">
        <f>(1+$B$23)^(A107-household!$B$4+1)</f>
        <v/>
      </c>
      <c r="T107" s="12">
        <f>IF(A107&lt;$B$5,1,0)</f>
        <v/>
      </c>
      <c r="U107" s="12">
        <f>IF(A107&lt;$B$6,1,0)</f>
        <v/>
      </c>
      <c r="V107" s="12">
        <f>IF(T107+U107&gt;0,1,0)</f>
        <v/>
      </c>
      <c r="W107" s="15">
        <f>T107*$B$7*O107+SUMPRODUCT(($B$83:$B$88=A107)*($D$83:$D$88="Wages: person 1")*$C$83:$C$88)*O107</f>
        <v/>
      </c>
      <c r="X107" s="15">
        <f>U107*$B$8*O107+SUMPRODUCT(($B$83:$B$88=A107)*($D$83:$D$88="Wages: person 2")*$C$83:$C$88)*O107</f>
        <v/>
      </c>
      <c r="Y107" s="15">
        <f>T107*$B$9*O107</f>
        <v/>
      </c>
      <c r="Z107" s="15">
        <f>U107*$B$10*O107</f>
        <v/>
      </c>
      <c r="AA107" s="15">
        <f>T107*$B$11*O107</f>
        <v/>
      </c>
      <c r="AB107" s="15">
        <f>U107*$B$12*O107</f>
        <v/>
      </c>
      <c r="AC107" s="15">
        <f>V107*$B$13*O107</f>
        <v/>
      </c>
      <c r="AD107" s="15">
        <f>W107+X107</f>
        <v/>
      </c>
      <c r="AE107" s="15">
        <f>AD107-Y107-Z107-AC107</f>
        <v/>
      </c>
      <c r="AF107" s="15">
        <f>0.062*MIN(W107,tax_tables!$B$21*P107)+0.062*MIN(X107,tax_tables!$B$21*P107)+0.0145*AD107+0.009*MAX(0,AD107-tax_tables!$B$22)</f>
        <v/>
      </c>
      <c r="AG107" s="15">
        <f>$B$14*AE107</f>
        <v/>
      </c>
      <c r="AH107" s="15">
        <f>AD107-Y107-Z107-AC107-AF107-AG107</f>
        <v/>
      </c>
      <c r="AI107" s="15">
        <f>SUMPRODUCT(($B$83:$B$88=A107)*($D$83:$D$88="Other taxable income")*$C$83:$C$88)*O107</f>
        <v/>
      </c>
      <c r="AJ107" s="15">
        <f>SUMPRODUCT(($B$83:$B$88=A107)*($D$83:$D$88="Tax-free money in")*$C$83:$C$88)*O107</f>
        <v/>
      </c>
      <c r="AK107" s="15">
        <f>SUMPRODUCT(($B$83:$B$88=A107)*($D$83:$D$88="Expense")*$C$83:$C$88)*O107</f>
        <v/>
      </c>
      <c r="AL107" s="12">
        <f>IF(OR($B$75="",A107&lt;$B$75),1,0)</f>
        <v/>
      </c>
      <c r="AM107" s="15">
        <f>AP106</f>
        <v/>
      </c>
      <c r="AN107" s="15">
        <f>AL107*AM107*properties!$J$2</f>
        <v/>
      </c>
      <c r="AO107" s="15">
        <f>AL107*MIN(properties!$K$2,AM107+AN107)</f>
        <v/>
      </c>
      <c r="AP107" s="15">
        <f>AL107*(AM107+AN107-AO107)</f>
        <v/>
      </c>
      <c r="AQ107" s="15">
        <f>AL107*properties!$G$2*O107</f>
        <v/>
      </c>
      <c r="AR107" s="15">
        <f>(1-AL107)*$E$75*O107</f>
        <v/>
      </c>
      <c r="AS107" s="15">
        <f>AO107+AQ107+AR107</f>
        <v/>
      </c>
      <c r="AT107" s="15">
        <f>SUMIF(budget!$A$2:$A$300,"household",budget!$F$2:$F$300)*O107*IF(N107="",1,N107)</f>
        <v/>
      </c>
      <c r="AU107" s="15">
        <f>SUMPRODUCT((other_budget!$C$2:$C$30&lt;=A107)*(other_budget!$D$2:$D$30&gt;=A107)*other_budget!$B$2:$B$30)*O107</f>
        <v/>
      </c>
      <c r="AV107" s="15">
        <f>SUMPRODUCT((kids_budget!$D$2:$D$40&lt;=A107)*(kids_budget!$E$2:$E$40&gt;=A107)*(kids_budget!$G$2:$G$40&lt;&gt;"college_funds")*kids_budget!$C$2:$C$40*((kids_budget!$F$2:$F$40="college")*R107+(kids_budget!$F$2:$F$40&lt;&gt;"college")*O107))</f>
        <v/>
      </c>
      <c r="AW107" s="15">
        <f>SUMPRODUCT((kids_budget!$D$2:$D$40&lt;=A107)*(kids_budget!$E$2:$E$40&gt;=A107)*(kids_budget!$G$2:$G$40="college_funds")*kids_budget!$C$2:$C$40*((kids_budget!$F$2:$F$40="college")*R107+(kids_budget!$F$2:$F$40&lt;&gt;"college")*O107))</f>
        <v/>
      </c>
      <c r="AX107" s="15">
        <f>BA106</f>
        <v/>
      </c>
      <c r="AY107" s="15">
        <f>MIN(AW107,AX107*(1+M107))</f>
        <v/>
      </c>
      <c r="AZ107" s="15">
        <f>AW107-AY107</f>
        <v/>
      </c>
      <c r="BA107" s="15">
        <f>AX107*(1+M107)-AY107</f>
        <v/>
      </c>
      <c r="BB107" s="15">
        <f>V107*healthcare!$B$5*Q107</f>
        <v/>
      </c>
      <c r="BC107" s="12">
        <f>(1-V107)*((B107&lt;65)+(C107&lt;65))</f>
        <v/>
      </c>
      <c r="BD107" s="12">
        <f>COUNTIF(household!$C$16:$C$23,"&gt;="&amp;A107)</f>
        <v/>
      </c>
      <c r="BE107" s="15">
        <f>(BC107*healthcare!$B$2+IF(BC107&gt;0,BD107,0)*healthcare!$B$3)*12*Q107</f>
        <v/>
      </c>
      <c r="BF107" s="15">
        <f>IF(BC107&gt;0,(BC107+BD107)*healthcare!$B$4*Q107,0)</f>
        <v/>
      </c>
      <c r="BG107" s="12">
        <f>(B107&gt;=65)+(C107&gt;=65)</f>
        <v/>
      </c>
      <c r="BH107" s="15">
        <f>BG107*(healthcare!$B$6+healthcare!$B$7+healthcare!$B$8)*12*Q107</f>
        <v/>
      </c>
      <c r="BI107" s="15">
        <f>BG107*healthcare!$B$9*Q107</f>
        <v/>
      </c>
      <c r="BJ107" s="15">
        <f>BG107*12*O107*SUMPRODUCT((DK105&gt;tax_tables!$Q$5:$Q$9*P107)*tax_tables!$T$5:$T$9)</f>
        <v/>
      </c>
      <c r="BK107" s="12">
        <f>AND(B107&gt;=$B$51,B107&lt;$B$51+$B$52)*1+AND(C107&gt;=$B$53,C107&lt;$B$53+$B$54)*1</f>
        <v/>
      </c>
      <c r="BL107" s="15">
        <f>BK107*$B$55*S107</f>
        <v/>
      </c>
      <c r="BM107" s="15">
        <f>BB107+BE107+BF107+BH107+BI107+BJ107+BL107</f>
        <v/>
      </c>
      <c r="BN107" s="15">
        <f>BP106</f>
        <v/>
      </c>
      <c r="BO107" s="15">
        <f>IF(V107=1,0,MIN(BN107*(1+M107),BF107+BG107*(healthcare!$B$6+healthcare!$B$7)*12*Q107+BI107+BJ107+BL107))</f>
        <v/>
      </c>
      <c r="BP107" s="15">
        <f>BN107*(1+M107)-BO107+AC107-CV107</f>
        <v/>
      </c>
      <c r="BQ107" s="15">
        <f>SUMPRODUCT((1-($B$76:$B$79&gt;0)*(A107&gt;=$B$76:$B$79))*(1-(($C$76:$C$79&gt;0)*(A107&gt;=$C$76:$C$79)))*(properties!$L$3:$L$6-properties!$M$3:$M$6))*O107+SUMPRODUCT((1-($B$76:$B$79&gt;0)*(A107&gt;=$B$76:$B$79))*(($C$76:$C$79&gt;0)*(A107&gt;=$C$76:$C$79))*($D$76:$D$79-$E$76:$E$79))*O107</f>
        <v/>
      </c>
      <c r="BR107" s="15">
        <f>SUMPRODUCT((1-($B$76:$B$79&gt;0)*(A107&gt;=$B$76:$B$79))*properties!$N$3:$N$6*(A107&lt;=properties!$O$3:$O$6))</f>
        <v/>
      </c>
      <c r="BS107" s="15">
        <f>MAX(0,BQ107-BR107)</f>
        <v/>
      </c>
      <c r="BT107" s="15">
        <f>SUMPRODUCT(($B$75:$B$79=A107)*$G$75:$G$79)</f>
        <v/>
      </c>
      <c r="BU107" s="15">
        <f>SUMPRODUCT(($B$75:$B$79=A107)*$H$75:$H$79)</f>
        <v/>
      </c>
      <c r="BV107" s="15">
        <f>SUMPRODUCT(($B$75:$B$79=A107)*$I$75:$I$79)</f>
        <v/>
      </c>
      <c r="BW107" s="15">
        <f>AL107*properties!$C$2*(1+properties!$D$2)^(A107-household!$B$4+1)</f>
        <v/>
      </c>
      <c r="BX107" s="15">
        <f>SUMPRODUCT((1-($B$76:$B$79&gt;0)*(A107&gt;=$B$76:$B$79))*properties!$C$3:$C$6*(1+properties!$D$3:$D$6)^(A107-household!$B$4+1))</f>
        <v/>
      </c>
      <c r="BY107" s="15">
        <f>IF(A107&gt;=$B$31,IF(A107&gt;=$B$32,MAX(household!$B$11*12*(1-$B$28)*O107*IF(A107&gt;=$B$30,1-$B$29,1)*$B$33,0.5*household!$B$12*12*(1-$B$28)*O107*IF(A107&gt;=$B$30,1-$B$29,1)*$B$35),household!$B$11*12*(1-$B$28)*O107*IF(A107&gt;=$B$30,1-$B$29,1)*$B$33),0)</f>
        <v/>
      </c>
      <c r="BZ107" s="15">
        <f>IF(A107&gt;=$B$32,IF(A107&gt;=$B$31,MAX(household!$B$12*12*(1-$B$28)*O107*IF(A107&gt;=$B$30,1-$B$29,1)*$B$34,0.5*household!$B$11*12*(1-$B$28)*O107*IF(A107&gt;=$B$30,1-$B$29,1)*$B$36),household!$B$12*12*(1-$B$28)*O107*IF(A107&gt;=$B$30,1-$B$29,1)*$B$34),0)</f>
        <v/>
      </c>
      <c r="CA107" s="15">
        <f>IF(AND($B$43&lt;&gt;0,A107&gt;=household!$B$6+$B$44),$B$43*(1+$B$18)^(MAX(household!$B$6+$B$44,household!$B$4-1)-household!$B$4+1)*(1+$B$47*$B$18)^(A107-MAX(household!$B$6+$B$44,household!$B$4-1)),0)</f>
        <v/>
      </c>
      <c r="CB107" s="15">
        <f>IF(AND($B$45&lt;&gt;0,A107&gt;=household!$B$9+$B$46),$B$45*(1+$B$18)^(MAX(household!$B$9+$B$46,household!$B$4-1)-household!$B$4+1)*(1+$B$47*$B$18)^(A107-MAX(household!$B$9+$B$46,household!$B$4-1)),0)</f>
        <v/>
      </c>
      <c r="CC107" s="15">
        <f>DC106</f>
        <v/>
      </c>
      <c r="CD107" s="15">
        <f>DD106</f>
        <v/>
      </c>
      <c r="CE107" s="15">
        <f>$B$20*CC107</f>
        <v/>
      </c>
      <c r="CF107" s="15">
        <f>DE106</f>
        <v/>
      </c>
      <c r="CG107" s="15">
        <f>DF106</f>
        <v/>
      </c>
      <c r="CH107" s="15">
        <f>IF(B107&gt;=$B$71,MAX(0,CF107)/INDEX(tax_tables!$Z$5:$Z$53,MATCH(B107,tax_tables!$Y$5:$Y$53,0)),0)</f>
        <v/>
      </c>
      <c r="CI107" s="15">
        <f>IF(C107&gt;=$B$72,MAX(0,CG107)/INDEX(tax_tables!$Z$5:$Z$53,MATCH(C107,tax_tables!$Y$5:$Y$53,0)),0)</f>
        <v/>
      </c>
      <c r="CJ107" s="15">
        <f>DG106</f>
        <v/>
      </c>
      <c r="CK107" s="15">
        <f>IF(OR($B$59="",$B$60=""),0,IF(AND(A107&gt;=$B$59,A107&lt;=$B$60),$B$58*O107,0))</f>
        <v/>
      </c>
      <c r="CL107" s="15">
        <f>MAX(0,CF107*(1+M107)-CH107)</f>
        <v/>
      </c>
      <c r="CM107" s="15">
        <f>MAX(0,CG107*(1+M107)-CI107)</f>
        <v/>
      </c>
      <c r="CN107" s="15">
        <f>EB106-AG106</f>
        <v/>
      </c>
      <c r="CO107" s="15">
        <f>AH107+F107+CA107+CB107+BQ107+CE107+CH107+CI107+BT107+AI107+AJ107+BO107</f>
        <v/>
      </c>
      <c r="CP107" s="15">
        <f>D107+CN107-CO107</f>
        <v/>
      </c>
      <c r="CQ107" s="15">
        <f>MAX(0,MIN(CP107,CC107*(1+M107-$B$20)))</f>
        <v/>
      </c>
      <c r="CR107" s="15">
        <f>MAX(0,MIN(CP107-CQ107,CL107+CM107))</f>
        <v/>
      </c>
      <c r="CS107" s="15">
        <f>IF(CL107+CM107&gt;1,CR107*CL107/(CL107+CM107),0)</f>
        <v/>
      </c>
      <c r="CT107" s="15">
        <f>CR107-CS107</f>
        <v/>
      </c>
      <c r="CU107" s="15">
        <f>MAX(0,MIN(CP107-CQ107-CR107,CJ107*(1+M107)))</f>
        <v/>
      </c>
      <c r="CV107" s="15">
        <f>MAX(0,MIN(CP107-CQ107-CR107-CU107,BN107*(1+M107)-BO107+AC107))</f>
        <v/>
      </c>
      <c r="CW107" s="15">
        <f>MAX(0,-CP107)</f>
        <v/>
      </c>
      <c r="CX107" s="15">
        <f>MIN(CK107,CL107-CS107+CM107-CT107)</f>
        <v/>
      </c>
      <c r="CY107" s="15">
        <f>IF(CL107-CS107+CM107-CT107&gt;1,CX107*(CL107-CS107)/(CL107-CS107+CM107-CT107),0)</f>
        <v/>
      </c>
      <c r="CZ107" s="15">
        <f>CX107-CY107</f>
        <v/>
      </c>
      <c r="DA107" s="22">
        <f>IF(CC107&gt;0,MAX(0,1-CD107/CC107),0)</f>
        <v/>
      </c>
      <c r="DB107" s="15">
        <f>CQ107*DA107</f>
        <v/>
      </c>
      <c r="DC107" s="15">
        <f>CC107*(1+M107-$B$20)-CQ107+CW107</f>
        <v/>
      </c>
      <c r="DD107" s="15">
        <f>CD107-(CQ107-DB107)+CW107</f>
        <v/>
      </c>
      <c r="DE107" s="15">
        <f>CF107*(1+M107)-CH107-CS107-CY107+Y107+AA107</f>
        <v/>
      </c>
      <c r="DF107" s="15">
        <f>CG107*(1+M107)-CI107-CT107-CZ107+Z107+AB107</f>
        <v/>
      </c>
      <c r="DG107" s="15">
        <f>CJ107*(1+M107)-CU107+CX107</f>
        <v/>
      </c>
      <c r="DH107" s="15">
        <f>AE107+CR107+CH107+CI107+CX107+CV107+BS107+AI107+CA107+CB107</f>
        <v/>
      </c>
      <c r="DI107" s="15">
        <f>CE107+DB107+BU107</f>
        <v/>
      </c>
      <c r="DJ107" s="15">
        <f>IF((DH107+DI107+0.5*F107)&lt;=tax_tables!$B$14,0,IF((DH107+DI107+0.5*F107)&lt;=tax_tables!$B$15,MIN(0.5*F107,0.5*((DH107+DI107+0.5*F107)-tax_tables!$B$14)),MIN(0.85*F107,0.85*((DH107+DI107+0.5*F107)-tax_tables!$B$15)+MIN(0.5*F107,tax_tables!$B$15-tax_tables!$B$14))))</f>
        <v/>
      </c>
      <c r="DK107" s="15">
        <f>DH107+DI107+DJ107</f>
        <v/>
      </c>
      <c r="DL107" s="12">
        <f>(B107&gt;=65)+(C107&gt;=65)</f>
        <v/>
      </c>
      <c r="DM107" s="15">
        <f>(tax_tables!$B$5+tax_tables!$B$6*DL107)*P107</f>
        <v/>
      </c>
      <c r="DN107" s="15">
        <f>IF(AND(A107&gt;=tax_tables!$B$8,A107&lt;=tax_tables!$B$9),DL107*MAX(0,tax_tables!$B$7-tax_tables!$B$11*MAX(0,DK107-tax_tables!$B$10)),0)</f>
        <v/>
      </c>
      <c r="DO107" s="15">
        <f>IFERROR(MAX(tax_tables!$B$16,INDEX(tax_tables!$W$5:$W$8,MATCH(A107,tax_tables!$V$5:$V$8,0))-tax_tables!$B$18*MAX(0,DK107-tax_tables!$B$17*1.01^(A107-tax_tables!$B$4))),tax_tables!$B$16)</f>
        <v/>
      </c>
      <c r="DP107" s="15">
        <f>MAX(0,BM107-BB107-tax_tables!$B$23*DK107)</f>
        <v/>
      </c>
      <c r="DQ107" s="15">
        <f>AN107+MIN(DO107,DY106+DZ106+EA106+AL107*properties!$H$2*O107)+DP107+$B$61*O107</f>
        <v/>
      </c>
      <c r="DR107" s="15">
        <f>MAX(DM107,DQ107)</f>
        <v/>
      </c>
      <c r="DS107" s="15">
        <f>MAX(0,DH107+DJ107-DR107-DN107)</f>
        <v/>
      </c>
      <c r="DT107" s="15">
        <f>MAX(0,DI107-MAX(0,DR107+DN107-DH107-DJ107))</f>
        <v/>
      </c>
      <c r="DU107" s="15">
        <f>SUMPRODUCT((DS107&gt;tax_tables!$E$5:$E$16*P107)*(DS107-tax_tables!$E$5:$E$16*P107)*tax_tables!$G$5:$G$16)+SUMPRODUCT(((DS107+DT107)&gt;tax_tables!$I$5:$I$16*P107)*((DS107+DT107)-tax_tables!$I$5:$I$16*P107)*tax_tables!$K$5:$K$16)-SUMPRODUCT((DS107&gt;tax_tables!$I$5:$I$16*P107)*(DS107-tax_tables!$I$5:$I$16*P107)*tax_tables!$K$5:$K$16)+tax_tables!$B$19*BV107+tax_tables!$B$12*MIN(CE107+DB107+BS107+BU107,MAX(0,DK107-tax_tables!$B$13))</f>
        <v/>
      </c>
      <c r="DV107" s="12">
        <f>IF($B$39="",0,IF(A107&gt;=$B$39,1,0))</f>
        <v/>
      </c>
      <c r="DW107" s="15">
        <f>IF(B107+0.5&gt;=tax_tables!$B$30,MIN(CS107+CH107+CY107+CA107,tax_tables!$B$29),0)+IF(C107+0.5&gt;=tax_tables!$B$30,MIN(CT107+CI107+CZ107+CB107,tax_tables!$B$29),0)</f>
        <v/>
      </c>
      <c r="DX107" s="15">
        <f>MAX(0,DK107-tax_tables!$B$28*DJ107-DW107-tax_tables!$B$26*IF(tax_tables!$B$27=1,P107,1))</f>
        <v/>
      </c>
      <c r="DY107" s="15">
        <f>(1-DV107)*SUMPRODUCT((DX107&gt;tax_tables!$M$5:$M$16*IF(tax_tables!$B$27=1,P107,1))*(DX107-tax_tables!$M$5:$M$16*IF(tax_tables!$B$27=1,P107,1))*tax_tables!$O$5:$O$16)</f>
        <v/>
      </c>
      <c r="DZ107" s="15">
        <f>(1-DV107)*tax_tables!$B$31*DX107</f>
        <v/>
      </c>
      <c r="EA107" s="15">
        <f>DV107*$B$40*MAX(0,DK107-DJ107)</f>
        <v/>
      </c>
      <c r="EB107" s="15">
        <f>DU107+DY107+DZ107+EA107</f>
        <v/>
      </c>
      <c r="EC107" s="15">
        <f>DC107+DE107+DF107+DG107+BP107</f>
        <v/>
      </c>
      <c r="ED107" s="15">
        <f>EC107+BW107-AP107+BX107</f>
        <v/>
      </c>
    </row>
    <row r="108">
      <c r="A108" s="12">
        <f>A107+1</f>
        <v/>
      </c>
      <c r="B108" s="12">
        <f>A108-household!$B$6</f>
        <v/>
      </c>
      <c r="C108" s="12">
        <f>A108-household!$B$9</f>
        <v/>
      </c>
      <c r="D108" s="15">
        <f>AS108+AT108+AU108+AV108+AZ108+BM108+AK108</f>
        <v/>
      </c>
      <c r="E108" s="15">
        <f>CN108+AG108+AF108</f>
        <v/>
      </c>
      <c r="F108" s="15">
        <f>BY108+BZ108</f>
        <v/>
      </c>
      <c r="G108" s="15">
        <f>CQ108+CR108+CU108+CH108+CI108+CE108-CW108+CV108+BO108</f>
        <v/>
      </c>
      <c r="H108" s="22">
        <f>IF(CC108+CF108+CG108+CJ108+BN108&lt;=0,"",G108/(CC108+CF108+CG108+CJ108+BN108))</f>
        <v/>
      </c>
      <c r="I108" s="23">
        <f>EC108/O108</f>
        <v/>
      </c>
      <c r="J108" s="23">
        <f>ED108/O108</f>
        <v/>
      </c>
      <c r="K108" s="15">
        <f>MAX(0,CP108-CQ108-CR108-CU108-CV108)</f>
        <v/>
      </c>
      <c r="L108" s="11" t="n"/>
      <c r="M108" s="22">
        <f>IF(L108="",$B$19,L108)</f>
        <v/>
      </c>
      <c r="N108" s="14" t="n"/>
      <c r="O108" s="13">
        <f>(1+$B$18)^(A108-household!$B$4+1)</f>
        <v/>
      </c>
      <c r="P108" s="13">
        <f>(1+$B$18)^(A108-tax_tables!$B$4)</f>
        <v/>
      </c>
      <c r="Q108" s="13">
        <f>(1+$B$21)^(A108-household!$B$4+1)</f>
        <v/>
      </c>
      <c r="R108" s="13">
        <f>(1+$B$22)^(A108-household!$B$4+1)</f>
        <v/>
      </c>
      <c r="S108" s="13">
        <f>(1+$B$23)^(A108-household!$B$4+1)</f>
        <v/>
      </c>
      <c r="T108" s="12">
        <f>IF(A108&lt;$B$5,1,0)</f>
        <v/>
      </c>
      <c r="U108" s="12">
        <f>IF(A108&lt;$B$6,1,0)</f>
        <v/>
      </c>
      <c r="V108" s="12">
        <f>IF(T108+U108&gt;0,1,0)</f>
        <v/>
      </c>
      <c r="W108" s="15">
        <f>T108*$B$7*O108+SUMPRODUCT(($B$83:$B$88=A108)*($D$83:$D$88="Wages: person 1")*$C$83:$C$88)*O108</f>
        <v/>
      </c>
      <c r="X108" s="15">
        <f>U108*$B$8*O108+SUMPRODUCT(($B$83:$B$88=A108)*($D$83:$D$88="Wages: person 2")*$C$83:$C$88)*O108</f>
        <v/>
      </c>
      <c r="Y108" s="15">
        <f>T108*$B$9*O108</f>
        <v/>
      </c>
      <c r="Z108" s="15">
        <f>U108*$B$10*O108</f>
        <v/>
      </c>
      <c r="AA108" s="15">
        <f>T108*$B$11*O108</f>
        <v/>
      </c>
      <c r="AB108" s="15">
        <f>U108*$B$12*O108</f>
        <v/>
      </c>
      <c r="AC108" s="15">
        <f>V108*$B$13*O108</f>
        <v/>
      </c>
      <c r="AD108" s="15">
        <f>W108+X108</f>
        <v/>
      </c>
      <c r="AE108" s="15">
        <f>AD108-Y108-Z108-AC108</f>
        <v/>
      </c>
      <c r="AF108" s="15">
        <f>0.062*MIN(W108,tax_tables!$B$21*P108)+0.062*MIN(X108,tax_tables!$B$21*P108)+0.0145*AD108+0.009*MAX(0,AD108-tax_tables!$B$22)</f>
        <v/>
      </c>
      <c r="AG108" s="15">
        <f>$B$14*AE108</f>
        <v/>
      </c>
      <c r="AH108" s="15">
        <f>AD108-Y108-Z108-AC108-AF108-AG108</f>
        <v/>
      </c>
      <c r="AI108" s="15">
        <f>SUMPRODUCT(($B$83:$B$88=A108)*($D$83:$D$88="Other taxable income")*$C$83:$C$88)*O108</f>
        <v/>
      </c>
      <c r="AJ108" s="15">
        <f>SUMPRODUCT(($B$83:$B$88=A108)*($D$83:$D$88="Tax-free money in")*$C$83:$C$88)*O108</f>
        <v/>
      </c>
      <c r="AK108" s="15">
        <f>SUMPRODUCT(($B$83:$B$88=A108)*($D$83:$D$88="Expense")*$C$83:$C$88)*O108</f>
        <v/>
      </c>
      <c r="AL108" s="12">
        <f>IF(OR($B$75="",A108&lt;$B$75),1,0)</f>
        <v/>
      </c>
      <c r="AM108" s="15">
        <f>AP107</f>
        <v/>
      </c>
      <c r="AN108" s="15">
        <f>AL108*AM108*properties!$J$2</f>
        <v/>
      </c>
      <c r="AO108" s="15">
        <f>AL108*MIN(properties!$K$2,AM108+AN108)</f>
        <v/>
      </c>
      <c r="AP108" s="15">
        <f>AL108*(AM108+AN108-AO108)</f>
        <v/>
      </c>
      <c r="AQ108" s="15">
        <f>AL108*properties!$G$2*O108</f>
        <v/>
      </c>
      <c r="AR108" s="15">
        <f>(1-AL108)*$E$75*O108</f>
        <v/>
      </c>
      <c r="AS108" s="15">
        <f>AO108+AQ108+AR108</f>
        <v/>
      </c>
      <c r="AT108" s="15">
        <f>SUMIF(budget!$A$2:$A$300,"household",budget!$F$2:$F$300)*O108*IF(N108="",1,N108)</f>
        <v/>
      </c>
      <c r="AU108" s="15">
        <f>SUMPRODUCT((other_budget!$C$2:$C$30&lt;=A108)*(other_budget!$D$2:$D$30&gt;=A108)*other_budget!$B$2:$B$30)*O108</f>
        <v/>
      </c>
      <c r="AV108" s="15">
        <f>SUMPRODUCT((kids_budget!$D$2:$D$40&lt;=A108)*(kids_budget!$E$2:$E$40&gt;=A108)*(kids_budget!$G$2:$G$40&lt;&gt;"college_funds")*kids_budget!$C$2:$C$40*((kids_budget!$F$2:$F$40="college")*R108+(kids_budget!$F$2:$F$40&lt;&gt;"college")*O108))</f>
        <v/>
      </c>
      <c r="AW108" s="15">
        <f>SUMPRODUCT((kids_budget!$D$2:$D$40&lt;=A108)*(kids_budget!$E$2:$E$40&gt;=A108)*(kids_budget!$G$2:$G$40="college_funds")*kids_budget!$C$2:$C$40*((kids_budget!$F$2:$F$40="college")*R108+(kids_budget!$F$2:$F$40&lt;&gt;"college")*O108))</f>
        <v/>
      </c>
      <c r="AX108" s="15">
        <f>BA107</f>
        <v/>
      </c>
      <c r="AY108" s="15">
        <f>MIN(AW108,AX108*(1+M108))</f>
        <v/>
      </c>
      <c r="AZ108" s="15">
        <f>AW108-AY108</f>
        <v/>
      </c>
      <c r="BA108" s="15">
        <f>AX108*(1+M108)-AY108</f>
        <v/>
      </c>
      <c r="BB108" s="15">
        <f>V108*healthcare!$B$5*Q108</f>
        <v/>
      </c>
      <c r="BC108" s="12">
        <f>(1-V108)*((B108&lt;65)+(C108&lt;65))</f>
        <v/>
      </c>
      <c r="BD108" s="12">
        <f>COUNTIF(household!$C$16:$C$23,"&gt;="&amp;A108)</f>
        <v/>
      </c>
      <c r="BE108" s="15">
        <f>(BC108*healthcare!$B$2+IF(BC108&gt;0,BD108,0)*healthcare!$B$3)*12*Q108</f>
        <v/>
      </c>
      <c r="BF108" s="15">
        <f>IF(BC108&gt;0,(BC108+BD108)*healthcare!$B$4*Q108,0)</f>
        <v/>
      </c>
      <c r="BG108" s="12">
        <f>(B108&gt;=65)+(C108&gt;=65)</f>
        <v/>
      </c>
      <c r="BH108" s="15">
        <f>BG108*(healthcare!$B$6+healthcare!$B$7+healthcare!$B$8)*12*Q108</f>
        <v/>
      </c>
      <c r="BI108" s="15">
        <f>BG108*healthcare!$B$9*Q108</f>
        <v/>
      </c>
      <c r="BJ108" s="15">
        <f>BG108*12*O108*SUMPRODUCT((DK106&gt;tax_tables!$Q$5:$Q$9*P108)*tax_tables!$T$5:$T$9)</f>
        <v/>
      </c>
      <c r="BK108" s="12">
        <f>AND(B108&gt;=$B$51,B108&lt;$B$51+$B$52)*1+AND(C108&gt;=$B$53,C108&lt;$B$53+$B$54)*1</f>
        <v/>
      </c>
      <c r="BL108" s="15">
        <f>BK108*$B$55*S108</f>
        <v/>
      </c>
      <c r="BM108" s="15">
        <f>BB108+BE108+BF108+BH108+BI108+BJ108+BL108</f>
        <v/>
      </c>
      <c r="BN108" s="15">
        <f>BP107</f>
        <v/>
      </c>
      <c r="BO108" s="15">
        <f>IF(V108=1,0,MIN(BN108*(1+M108),BF108+BG108*(healthcare!$B$6+healthcare!$B$7)*12*Q108+BI108+BJ108+BL108))</f>
        <v/>
      </c>
      <c r="BP108" s="15">
        <f>BN108*(1+M108)-BO108+AC108-CV108</f>
        <v/>
      </c>
      <c r="BQ108" s="15">
        <f>SUMPRODUCT((1-($B$76:$B$79&gt;0)*(A108&gt;=$B$76:$B$79))*(1-(($C$76:$C$79&gt;0)*(A108&gt;=$C$76:$C$79)))*(properties!$L$3:$L$6-properties!$M$3:$M$6))*O108+SUMPRODUCT((1-($B$76:$B$79&gt;0)*(A108&gt;=$B$76:$B$79))*(($C$76:$C$79&gt;0)*(A108&gt;=$C$76:$C$79))*($D$76:$D$79-$E$76:$E$79))*O108</f>
        <v/>
      </c>
      <c r="BR108" s="15">
        <f>SUMPRODUCT((1-($B$76:$B$79&gt;0)*(A108&gt;=$B$76:$B$79))*properties!$N$3:$N$6*(A108&lt;=properties!$O$3:$O$6))</f>
        <v/>
      </c>
      <c r="BS108" s="15">
        <f>MAX(0,BQ108-BR108)</f>
        <v/>
      </c>
      <c r="BT108" s="15">
        <f>SUMPRODUCT(($B$75:$B$79=A108)*$G$75:$G$79)</f>
        <v/>
      </c>
      <c r="BU108" s="15">
        <f>SUMPRODUCT(($B$75:$B$79=A108)*$H$75:$H$79)</f>
        <v/>
      </c>
      <c r="BV108" s="15">
        <f>SUMPRODUCT(($B$75:$B$79=A108)*$I$75:$I$79)</f>
        <v/>
      </c>
      <c r="BW108" s="15">
        <f>AL108*properties!$C$2*(1+properties!$D$2)^(A108-household!$B$4+1)</f>
        <v/>
      </c>
      <c r="BX108" s="15">
        <f>SUMPRODUCT((1-($B$76:$B$79&gt;0)*(A108&gt;=$B$76:$B$79))*properties!$C$3:$C$6*(1+properties!$D$3:$D$6)^(A108-household!$B$4+1))</f>
        <v/>
      </c>
      <c r="BY108" s="15">
        <f>IF(A108&gt;=$B$31,IF(A108&gt;=$B$32,MAX(household!$B$11*12*(1-$B$28)*O108*IF(A108&gt;=$B$30,1-$B$29,1)*$B$33,0.5*household!$B$12*12*(1-$B$28)*O108*IF(A108&gt;=$B$30,1-$B$29,1)*$B$35),household!$B$11*12*(1-$B$28)*O108*IF(A108&gt;=$B$30,1-$B$29,1)*$B$33),0)</f>
        <v/>
      </c>
      <c r="BZ108" s="15">
        <f>IF(A108&gt;=$B$32,IF(A108&gt;=$B$31,MAX(household!$B$12*12*(1-$B$28)*O108*IF(A108&gt;=$B$30,1-$B$29,1)*$B$34,0.5*household!$B$11*12*(1-$B$28)*O108*IF(A108&gt;=$B$30,1-$B$29,1)*$B$36),household!$B$12*12*(1-$B$28)*O108*IF(A108&gt;=$B$30,1-$B$29,1)*$B$34),0)</f>
        <v/>
      </c>
      <c r="CA108" s="15">
        <f>IF(AND($B$43&lt;&gt;0,A108&gt;=household!$B$6+$B$44),$B$43*(1+$B$18)^(MAX(household!$B$6+$B$44,household!$B$4-1)-household!$B$4+1)*(1+$B$47*$B$18)^(A108-MAX(household!$B$6+$B$44,household!$B$4-1)),0)</f>
        <v/>
      </c>
      <c r="CB108" s="15">
        <f>IF(AND($B$45&lt;&gt;0,A108&gt;=household!$B$9+$B$46),$B$45*(1+$B$18)^(MAX(household!$B$9+$B$46,household!$B$4-1)-household!$B$4+1)*(1+$B$47*$B$18)^(A108-MAX(household!$B$9+$B$46,household!$B$4-1)),0)</f>
        <v/>
      </c>
      <c r="CC108" s="15">
        <f>DC107</f>
        <v/>
      </c>
      <c r="CD108" s="15">
        <f>DD107</f>
        <v/>
      </c>
      <c r="CE108" s="15">
        <f>$B$20*CC108</f>
        <v/>
      </c>
      <c r="CF108" s="15">
        <f>DE107</f>
        <v/>
      </c>
      <c r="CG108" s="15">
        <f>DF107</f>
        <v/>
      </c>
      <c r="CH108" s="15">
        <f>IF(B108&gt;=$B$71,MAX(0,CF108)/INDEX(tax_tables!$Z$5:$Z$53,MATCH(B108,tax_tables!$Y$5:$Y$53,0)),0)</f>
        <v/>
      </c>
      <c r="CI108" s="15">
        <f>IF(C108&gt;=$B$72,MAX(0,CG108)/INDEX(tax_tables!$Z$5:$Z$53,MATCH(C108,tax_tables!$Y$5:$Y$53,0)),0)</f>
        <v/>
      </c>
      <c r="CJ108" s="15">
        <f>DG107</f>
        <v/>
      </c>
      <c r="CK108" s="15">
        <f>IF(OR($B$59="",$B$60=""),0,IF(AND(A108&gt;=$B$59,A108&lt;=$B$60),$B$58*O108,0))</f>
        <v/>
      </c>
      <c r="CL108" s="15">
        <f>MAX(0,CF108*(1+M108)-CH108)</f>
        <v/>
      </c>
      <c r="CM108" s="15">
        <f>MAX(0,CG108*(1+M108)-CI108)</f>
        <v/>
      </c>
      <c r="CN108" s="15">
        <f>EB107-AG107</f>
        <v/>
      </c>
      <c r="CO108" s="15">
        <f>AH108+F108+CA108+CB108+BQ108+CE108+CH108+CI108+BT108+AI108+AJ108+BO108</f>
        <v/>
      </c>
      <c r="CP108" s="15">
        <f>D108+CN108-CO108</f>
        <v/>
      </c>
      <c r="CQ108" s="15">
        <f>MAX(0,MIN(CP108,CC108*(1+M108-$B$20)))</f>
        <v/>
      </c>
      <c r="CR108" s="15">
        <f>MAX(0,MIN(CP108-CQ108,CL108+CM108))</f>
        <v/>
      </c>
      <c r="CS108" s="15">
        <f>IF(CL108+CM108&gt;1,CR108*CL108/(CL108+CM108),0)</f>
        <v/>
      </c>
      <c r="CT108" s="15">
        <f>CR108-CS108</f>
        <v/>
      </c>
      <c r="CU108" s="15">
        <f>MAX(0,MIN(CP108-CQ108-CR108,CJ108*(1+M108)))</f>
        <v/>
      </c>
      <c r="CV108" s="15">
        <f>MAX(0,MIN(CP108-CQ108-CR108-CU108,BN108*(1+M108)-BO108+AC108))</f>
        <v/>
      </c>
      <c r="CW108" s="15">
        <f>MAX(0,-CP108)</f>
        <v/>
      </c>
      <c r="CX108" s="15">
        <f>MIN(CK108,CL108-CS108+CM108-CT108)</f>
        <v/>
      </c>
      <c r="CY108" s="15">
        <f>IF(CL108-CS108+CM108-CT108&gt;1,CX108*(CL108-CS108)/(CL108-CS108+CM108-CT108),0)</f>
        <v/>
      </c>
      <c r="CZ108" s="15">
        <f>CX108-CY108</f>
        <v/>
      </c>
      <c r="DA108" s="22">
        <f>IF(CC108&gt;0,MAX(0,1-CD108/CC108),0)</f>
        <v/>
      </c>
      <c r="DB108" s="15">
        <f>CQ108*DA108</f>
        <v/>
      </c>
      <c r="DC108" s="15">
        <f>CC108*(1+M108-$B$20)-CQ108+CW108</f>
        <v/>
      </c>
      <c r="DD108" s="15">
        <f>CD108-(CQ108-DB108)+CW108</f>
        <v/>
      </c>
      <c r="DE108" s="15">
        <f>CF108*(1+M108)-CH108-CS108-CY108+Y108+AA108</f>
        <v/>
      </c>
      <c r="DF108" s="15">
        <f>CG108*(1+M108)-CI108-CT108-CZ108+Z108+AB108</f>
        <v/>
      </c>
      <c r="DG108" s="15">
        <f>CJ108*(1+M108)-CU108+CX108</f>
        <v/>
      </c>
      <c r="DH108" s="15">
        <f>AE108+CR108+CH108+CI108+CX108+CV108+BS108+AI108+CA108+CB108</f>
        <v/>
      </c>
      <c r="DI108" s="15">
        <f>CE108+DB108+BU108</f>
        <v/>
      </c>
      <c r="DJ108" s="15">
        <f>IF((DH108+DI108+0.5*F108)&lt;=tax_tables!$B$14,0,IF((DH108+DI108+0.5*F108)&lt;=tax_tables!$B$15,MIN(0.5*F108,0.5*((DH108+DI108+0.5*F108)-tax_tables!$B$14)),MIN(0.85*F108,0.85*((DH108+DI108+0.5*F108)-tax_tables!$B$15)+MIN(0.5*F108,tax_tables!$B$15-tax_tables!$B$14))))</f>
        <v/>
      </c>
      <c r="DK108" s="15">
        <f>DH108+DI108+DJ108</f>
        <v/>
      </c>
      <c r="DL108" s="12">
        <f>(B108&gt;=65)+(C108&gt;=65)</f>
        <v/>
      </c>
      <c r="DM108" s="15">
        <f>(tax_tables!$B$5+tax_tables!$B$6*DL108)*P108</f>
        <v/>
      </c>
      <c r="DN108" s="15">
        <f>IF(AND(A108&gt;=tax_tables!$B$8,A108&lt;=tax_tables!$B$9),DL108*MAX(0,tax_tables!$B$7-tax_tables!$B$11*MAX(0,DK108-tax_tables!$B$10)),0)</f>
        <v/>
      </c>
      <c r="DO108" s="15">
        <f>IFERROR(MAX(tax_tables!$B$16,INDEX(tax_tables!$W$5:$W$8,MATCH(A108,tax_tables!$V$5:$V$8,0))-tax_tables!$B$18*MAX(0,DK108-tax_tables!$B$17*1.01^(A108-tax_tables!$B$4))),tax_tables!$B$16)</f>
        <v/>
      </c>
      <c r="DP108" s="15">
        <f>MAX(0,BM108-BB108-tax_tables!$B$23*DK108)</f>
        <v/>
      </c>
      <c r="DQ108" s="15">
        <f>AN108+MIN(DO108,DY107+DZ107+EA107+AL108*properties!$H$2*O108)+DP108+$B$61*O108</f>
        <v/>
      </c>
      <c r="DR108" s="15">
        <f>MAX(DM108,DQ108)</f>
        <v/>
      </c>
      <c r="DS108" s="15">
        <f>MAX(0,DH108+DJ108-DR108-DN108)</f>
        <v/>
      </c>
      <c r="DT108" s="15">
        <f>MAX(0,DI108-MAX(0,DR108+DN108-DH108-DJ108))</f>
        <v/>
      </c>
      <c r="DU108" s="15">
        <f>SUMPRODUCT((DS108&gt;tax_tables!$E$5:$E$16*P108)*(DS108-tax_tables!$E$5:$E$16*P108)*tax_tables!$G$5:$G$16)+SUMPRODUCT(((DS108+DT108)&gt;tax_tables!$I$5:$I$16*P108)*((DS108+DT108)-tax_tables!$I$5:$I$16*P108)*tax_tables!$K$5:$K$16)-SUMPRODUCT((DS108&gt;tax_tables!$I$5:$I$16*P108)*(DS108-tax_tables!$I$5:$I$16*P108)*tax_tables!$K$5:$K$16)+tax_tables!$B$19*BV108+tax_tables!$B$12*MIN(CE108+DB108+BS108+BU108,MAX(0,DK108-tax_tables!$B$13))</f>
        <v/>
      </c>
      <c r="DV108" s="12">
        <f>IF($B$39="",0,IF(A108&gt;=$B$39,1,0))</f>
        <v/>
      </c>
      <c r="DW108" s="15">
        <f>IF(B108+0.5&gt;=tax_tables!$B$30,MIN(CS108+CH108+CY108+CA108,tax_tables!$B$29),0)+IF(C108+0.5&gt;=tax_tables!$B$30,MIN(CT108+CI108+CZ108+CB108,tax_tables!$B$29),0)</f>
        <v/>
      </c>
      <c r="DX108" s="15">
        <f>MAX(0,DK108-tax_tables!$B$28*DJ108-DW108-tax_tables!$B$26*IF(tax_tables!$B$27=1,P108,1))</f>
        <v/>
      </c>
      <c r="DY108" s="15">
        <f>(1-DV108)*SUMPRODUCT((DX108&gt;tax_tables!$M$5:$M$16*IF(tax_tables!$B$27=1,P108,1))*(DX108-tax_tables!$M$5:$M$16*IF(tax_tables!$B$27=1,P108,1))*tax_tables!$O$5:$O$16)</f>
        <v/>
      </c>
      <c r="DZ108" s="15">
        <f>(1-DV108)*tax_tables!$B$31*DX108</f>
        <v/>
      </c>
      <c r="EA108" s="15">
        <f>DV108*$B$40*MAX(0,DK108-DJ108)</f>
        <v/>
      </c>
      <c r="EB108" s="15">
        <f>DU108+DY108+DZ108+EA108</f>
        <v/>
      </c>
      <c r="EC108" s="15">
        <f>DC108+DE108+DF108+DG108+BP108</f>
        <v/>
      </c>
      <c r="ED108" s="15">
        <f>EC108+BW108-AP108+BX108</f>
        <v/>
      </c>
    </row>
    <row r="109">
      <c r="A109" s="12">
        <f>A108+1</f>
        <v/>
      </c>
      <c r="B109" s="12">
        <f>A109-household!$B$6</f>
        <v/>
      </c>
      <c r="C109" s="12">
        <f>A109-household!$B$9</f>
        <v/>
      </c>
      <c r="D109" s="15">
        <f>AS109+AT109+AU109+AV109+AZ109+BM109+AK109</f>
        <v/>
      </c>
      <c r="E109" s="15">
        <f>CN109+AG109+AF109</f>
        <v/>
      </c>
      <c r="F109" s="15">
        <f>BY109+BZ109</f>
        <v/>
      </c>
      <c r="G109" s="15">
        <f>CQ109+CR109+CU109+CH109+CI109+CE109-CW109+CV109+BO109</f>
        <v/>
      </c>
      <c r="H109" s="22">
        <f>IF(CC109+CF109+CG109+CJ109+BN109&lt;=0,"",G109/(CC109+CF109+CG109+CJ109+BN109))</f>
        <v/>
      </c>
      <c r="I109" s="23">
        <f>EC109/O109</f>
        <v/>
      </c>
      <c r="J109" s="23">
        <f>ED109/O109</f>
        <v/>
      </c>
      <c r="K109" s="15">
        <f>MAX(0,CP109-CQ109-CR109-CU109-CV109)</f>
        <v/>
      </c>
      <c r="L109" s="11" t="n"/>
      <c r="M109" s="22">
        <f>IF(L109="",$B$19,L109)</f>
        <v/>
      </c>
      <c r="N109" s="14" t="n"/>
      <c r="O109" s="13">
        <f>(1+$B$18)^(A109-household!$B$4+1)</f>
        <v/>
      </c>
      <c r="P109" s="13">
        <f>(1+$B$18)^(A109-tax_tables!$B$4)</f>
        <v/>
      </c>
      <c r="Q109" s="13">
        <f>(1+$B$21)^(A109-household!$B$4+1)</f>
        <v/>
      </c>
      <c r="R109" s="13">
        <f>(1+$B$22)^(A109-household!$B$4+1)</f>
        <v/>
      </c>
      <c r="S109" s="13">
        <f>(1+$B$23)^(A109-household!$B$4+1)</f>
        <v/>
      </c>
      <c r="T109" s="12">
        <f>IF(A109&lt;$B$5,1,0)</f>
        <v/>
      </c>
      <c r="U109" s="12">
        <f>IF(A109&lt;$B$6,1,0)</f>
        <v/>
      </c>
      <c r="V109" s="12">
        <f>IF(T109+U109&gt;0,1,0)</f>
        <v/>
      </c>
      <c r="W109" s="15">
        <f>T109*$B$7*O109+SUMPRODUCT(($B$83:$B$88=A109)*($D$83:$D$88="Wages: person 1")*$C$83:$C$88)*O109</f>
        <v/>
      </c>
      <c r="X109" s="15">
        <f>U109*$B$8*O109+SUMPRODUCT(($B$83:$B$88=A109)*($D$83:$D$88="Wages: person 2")*$C$83:$C$88)*O109</f>
        <v/>
      </c>
      <c r="Y109" s="15">
        <f>T109*$B$9*O109</f>
        <v/>
      </c>
      <c r="Z109" s="15">
        <f>U109*$B$10*O109</f>
        <v/>
      </c>
      <c r="AA109" s="15">
        <f>T109*$B$11*O109</f>
        <v/>
      </c>
      <c r="AB109" s="15">
        <f>U109*$B$12*O109</f>
        <v/>
      </c>
      <c r="AC109" s="15">
        <f>V109*$B$13*O109</f>
        <v/>
      </c>
      <c r="AD109" s="15">
        <f>W109+X109</f>
        <v/>
      </c>
      <c r="AE109" s="15">
        <f>AD109-Y109-Z109-AC109</f>
        <v/>
      </c>
      <c r="AF109" s="15">
        <f>0.062*MIN(W109,tax_tables!$B$21*P109)+0.062*MIN(X109,tax_tables!$B$21*P109)+0.0145*AD109+0.009*MAX(0,AD109-tax_tables!$B$22)</f>
        <v/>
      </c>
      <c r="AG109" s="15">
        <f>$B$14*AE109</f>
        <v/>
      </c>
      <c r="AH109" s="15">
        <f>AD109-Y109-Z109-AC109-AF109-AG109</f>
        <v/>
      </c>
      <c r="AI109" s="15">
        <f>SUMPRODUCT(($B$83:$B$88=A109)*($D$83:$D$88="Other taxable income")*$C$83:$C$88)*O109</f>
        <v/>
      </c>
      <c r="AJ109" s="15">
        <f>SUMPRODUCT(($B$83:$B$88=A109)*($D$83:$D$88="Tax-free money in")*$C$83:$C$88)*O109</f>
        <v/>
      </c>
      <c r="AK109" s="15">
        <f>SUMPRODUCT(($B$83:$B$88=A109)*($D$83:$D$88="Expense")*$C$83:$C$88)*O109</f>
        <v/>
      </c>
      <c r="AL109" s="12">
        <f>IF(OR($B$75="",A109&lt;$B$75),1,0)</f>
        <v/>
      </c>
      <c r="AM109" s="15">
        <f>AP108</f>
        <v/>
      </c>
      <c r="AN109" s="15">
        <f>AL109*AM109*properties!$J$2</f>
        <v/>
      </c>
      <c r="AO109" s="15">
        <f>AL109*MIN(properties!$K$2,AM109+AN109)</f>
        <v/>
      </c>
      <c r="AP109" s="15">
        <f>AL109*(AM109+AN109-AO109)</f>
        <v/>
      </c>
      <c r="AQ109" s="15">
        <f>AL109*properties!$G$2*O109</f>
        <v/>
      </c>
      <c r="AR109" s="15">
        <f>(1-AL109)*$E$75*O109</f>
        <v/>
      </c>
      <c r="AS109" s="15">
        <f>AO109+AQ109+AR109</f>
        <v/>
      </c>
      <c r="AT109" s="15">
        <f>SUMIF(budget!$A$2:$A$300,"household",budget!$F$2:$F$300)*O109*IF(N109="",1,N109)</f>
        <v/>
      </c>
      <c r="AU109" s="15">
        <f>SUMPRODUCT((other_budget!$C$2:$C$30&lt;=A109)*(other_budget!$D$2:$D$30&gt;=A109)*other_budget!$B$2:$B$30)*O109</f>
        <v/>
      </c>
      <c r="AV109" s="15">
        <f>SUMPRODUCT((kids_budget!$D$2:$D$40&lt;=A109)*(kids_budget!$E$2:$E$40&gt;=A109)*(kids_budget!$G$2:$G$40&lt;&gt;"college_funds")*kids_budget!$C$2:$C$40*((kids_budget!$F$2:$F$40="college")*R109+(kids_budget!$F$2:$F$40&lt;&gt;"college")*O109))</f>
        <v/>
      </c>
      <c r="AW109" s="15">
        <f>SUMPRODUCT((kids_budget!$D$2:$D$40&lt;=A109)*(kids_budget!$E$2:$E$40&gt;=A109)*(kids_budget!$G$2:$G$40="college_funds")*kids_budget!$C$2:$C$40*((kids_budget!$F$2:$F$40="college")*R109+(kids_budget!$F$2:$F$40&lt;&gt;"college")*O109))</f>
        <v/>
      </c>
      <c r="AX109" s="15">
        <f>BA108</f>
        <v/>
      </c>
      <c r="AY109" s="15">
        <f>MIN(AW109,AX109*(1+M109))</f>
        <v/>
      </c>
      <c r="AZ109" s="15">
        <f>AW109-AY109</f>
        <v/>
      </c>
      <c r="BA109" s="15">
        <f>AX109*(1+M109)-AY109</f>
        <v/>
      </c>
      <c r="BB109" s="15">
        <f>V109*healthcare!$B$5*Q109</f>
        <v/>
      </c>
      <c r="BC109" s="12">
        <f>(1-V109)*((B109&lt;65)+(C109&lt;65))</f>
        <v/>
      </c>
      <c r="BD109" s="12">
        <f>COUNTIF(household!$C$16:$C$23,"&gt;="&amp;A109)</f>
        <v/>
      </c>
      <c r="BE109" s="15">
        <f>(BC109*healthcare!$B$2+IF(BC109&gt;0,BD109,0)*healthcare!$B$3)*12*Q109</f>
        <v/>
      </c>
      <c r="BF109" s="15">
        <f>IF(BC109&gt;0,(BC109+BD109)*healthcare!$B$4*Q109,0)</f>
        <v/>
      </c>
      <c r="BG109" s="12">
        <f>(B109&gt;=65)+(C109&gt;=65)</f>
        <v/>
      </c>
      <c r="BH109" s="15">
        <f>BG109*(healthcare!$B$6+healthcare!$B$7+healthcare!$B$8)*12*Q109</f>
        <v/>
      </c>
      <c r="BI109" s="15">
        <f>BG109*healthcare!$B$9*Q109</f>
        <v/>
      </c>
      <c r="BJ109" s="15">
        <f>BG109*12*O109*SUMPRODUCT((DK107&gt;tax_tables!$Q$5:$Q$9*P109)*tax_tables!$T$5:$T$9)</f>
        <v/>
      </c>
      <c r="BK109" s="12">
        <f>AND(B109&gt;=$B$51,B109&lt;$B$51+$B$52)*1+AND(C109&gt;=$B$53,C109&lt;$B$53+$B$54)*1</f>
        <v/>
      </c>
      <c r="BL109" s="15">
        <f>BK109*$B$55*S109</f>
        <v/>
      </c>
      <c r="BM109" s="15">
        <f>BB109+BE109+BF109+BH109+BI109+BJ109+BL109</f>
        <v/>
      </c>
      <c r="BN109" s="15">
        <f>BP108</f>
        <v/>
      </c>
      <c r="BO109" s="15">
        <f>IF(V109=1,0,MIN(BN109*(1+M109),BF109+BG109*(healthcare!$B$6+healthcare!$B$7)*12*Q109+BI109+BJ109+BL109))</f>
        <v/>
      </c>
      <c r="BP109" s="15">
        <f>BN109*(1+M109)-BO109+AC109-CV109</f>
        <v/>
      </c>
      <c r="BQ109" s="15">
        <f>SUMPRODUCT((1-($B$76:$B$79&gt;0)*(A109&gt;=$B$76:$B$79))*(1-(($C$76:$C$79&gt;0)*(A109&gt;=$C$76:$C$79)))*(properties!$L$3:$L$6-properties!$M$3:$M$6))*O109+SUMPRODUCT((1-($B$76:$B$79&gt;0)*(A109&gt;=$B$76:$B$79))*(($C$76:$C$79&gt;0)*(A109&gt;=$C$76:$C$79))*($D$76:$D$79-$E$76:$E$79))*O109</f>
        <v/>
      </c>
      <c r="BR109" s="15">
        <f>SUMPRODUCT((1-($B$76:$B$79&gt;0)*(A109&gt;=$B$76:$B$79))*properties!$N$3:$N$6*(A109&lt;=properties!$O$3:$O$6))</f>
        <v/>
      </c>
      <c r="BS109" s="15">
        <f>MAX(0,BQ109-BR109)</f>
        <v/>
      </c>
      <c r="BT109" s="15">
        <f>SUMPRODUCT(($B$75:$B$79=A109)*$G$75:$G$79)</f>
        <v/>
      </c>
      <c r="BU109" s="15">
        <f>SUMPRODUCT(($B$75:$B$79=A109)*$H$75:$H$79)</f>
        <v/>
      </c>
      <c r="BV109" s="15">
        <f>SUMPRODUCT(($B$75:$B$79=A109)*$I$75:$I$79)</f>
        <v/>
      </c>
      <c r="BW109" s="15">
        <f>AL109*properties!$C$2*(1+properties!$D$2)^(A109-household!$B$4+1)</f>
        <v/>
      </c>
      <c r="BX109" s="15">
        <f>SUMPRODUCT((1-($B$76:$B$79&gt;0)*(A109&gt;=$B$76:$B$79))*properties!$C$3:$C$6*(1+properties!$D$3:$D$6)^(A109-household!$B$4+1))</f>
        <v/>
      </c>
      <c r="BY109" s="15">
        <f>IF(A109&gt;=$B$31,IF(A109&gt;=$B$32,MAX(household!$B$11*12*(1-$B$28)*O109*IF(A109&gt;=$B$30,1-$B$29,1)*$B$33,0.5*household!$B$12*12*(1-$B$28)*O109*IF(A109&gt;=$B$30,1-$B$29,1)*$B$35),household!$B$11*12*(1-$B$28)*O109*IF(A109&gt;=$B$30,1-$B$29,1)*$B$33),0)</f>
        <v/>
      </c>
      <c r="BZ109" s="15">
        <f>IF(A109&gt;=$B$32,IF(A109&gt;=$B$31,MAX(household!$B$12*12*(1-$B$28)*O109*IF(A109&gt;=$B$30,1-$B$29,1)*$B$34,0.5*household!$B$11*12*(1-$B$28)*O109*IF(A109&gt;=$B$30,1-$B$29,1)*$B$36),household!$B$12*12*(1-$B$28)*O109*IF(A109&gt;=$B$30,1-$B$29,1)*$B$34),0)</f>
        <v/>
      </c>
      <c r="CA109" s="15">
        <f>IF(AND($B$43&lt;&gt;0,A109&gt;=household!$B$6+$B$44),$B$43*(1+$B$18)^(MAX(household!$B$6+$B$44,household!$B$4-1)-household!$B$4+1)*(1+$B$47*$B$18)^(A109-MAX(household!$B$6+$B$44,household!$B$4-1)),0)</f>
        <v/>
      </c>
      <c r="CB109" s="15">
        <f>IF(AND($B$45&lt;&gt;0,A109&gt;=household!$B$9+$B$46),$B$45*(1+$B$18)^(MAX(household!$B$9+$B$46,household!$B$4-1)-household!$B$4+1)*(1+$B$47*$B$18)^(A109-MAX(household!$B$9+$B$46,household!$B$4-1)),0)</f>
        <v/>
      </c>
      <c r="CC109" s="15">
        <f>DC108</f>
        <v/>
      </c>
      <c r="CD109" s="15">
        <f>DD108</f>
        <v/>
      </c>
      <c r="CE109" s="15">
        <f>$B$20*CC109</f>
        <v/>
      </c>
      <c r="CF109" s="15">
        <f>DE108</f>
        <v/>
      </c>
      <c r="CG109" s="15">
        <f>DF108</f>
        <v/>
      </c>
      <c r="CH109" s="15">
        <f>IF(B109&gt;=$B$71,MAX(0,CF109)/INDEX(tax_tables!$Z$5:$Z$53,MATCH(B109,tax_tables!$Y$5:$Y$53,0)),0)</f>
        <v/>
      </c>
      <c r="CI109" s="15">
        <f>IF(C109&gt;=$B$72,MAX(0,CG109)/INDEX(tax_tables!$Z$5:$Z$53,MATCH(C109,tax_tables!$Y$5:$Y$53,0)),0)</f>
        <v/>
      </c>
      <c r="CJ109" s="15">
        <f>DG108</f>
        <v/>
      </c>
      <c r="CK109" s="15">
        <f>IF(OR($B$59="",$B$60=""),0,IF(AND(A109&gt;=$B$59,A109&lt;=$B$60),$B$58*O109,0))</f>
        <v/>
      </c>
      <c r="CL109" s="15">
        <f>MAX(0,CF109*(1+M109)-CH109)</f>
        <v/>
      </c>
      <c r="CM109" s="15">
        <f>MAX(0,CG109*(1+M109)-CI109)</f>
        <v/>
      </c>
      <c r="CN109" s="15">
        <f>EB108-AG108</f>
        <v/>
      </c>
      <c r="CO109" s="15">
        <f>AH109+F109+CA109+CB109+BQ109+CE109+CH109+CI109+BT109+AI109+AJ109+BO109</f>
        <v/>
      </c>
      <c r="CP109" s="15">
        <f>D109+CN109-CO109</f>
        <v/>
      </c>
      <c r="CQ109" s="15">
        <f>MAX(0,MIN(CP109,CC109*(1+M109-$B$20)))</f>
        <v/>
      </c>
      <c r="CR109" s="15">
        <f>MAX(0,MIN(CP109-CQ109,CL109+CM109))</f>
        <v/>
      </c>
      <c r="CS109" s="15">
        <f>IF(CL109+CM109&gt;1,CR109*CL109/(CL109+CM109),0)</f>
        <v/>
      </c>
      <c r="CT109" s="15">
        <f>CR109-CS109</f>
        <v/>
      </c>
      <c r="CU109" s="15">
        <f>MAX(0,MIN(CP109-CQ109-CR109,CJ109*(1+M109)))</f>
        <v/>
      </c>
      <c r="CV109" s="15">
        <f>MAX(0,MIN(CP109-CQ109-CR109-CU109,BN109*(1+M109)-BO109+AC109))</f>
        <v/>
      </c>
      <c r="CW109" s="15">
        <f>MAX(0,-CP109)</f>
        <v/>
      </c>
      <c r="CX109" s="15">
        <f>MIN(CK109,CL109-CS109+CM109-CT109)</f>
        <v/>
      </c>
      <c r="CY109" s="15">
        <f>IF(CL109-CS109+CM109-CT109&gt;1,CX109*(CL109-CS109)/(CL109-CS109+CM109-CT109),0)</f>
        <v/>
      </c>
      <c r="CZ109" s="15">
        <f>CX109-CY109</f>
        <v/>
      </c>
      <c r="DA109" s="22">
        <f>IF(CC109&gt;0,MAX(0,1-CD109/CC109),0)</f>
        <v/>
      </c>
      <c r="DB109" s="15">
        <f>CQ109*DA109</f>
        <v/>
      </c>
      <c r="DC109" s="15">
        <f>CC109*(1+M109-$B$20)-CQ109+CW109</f>
        <v/>
      </c>
      <c r="DD109" s="15">
        <f>CD109-(CQ109-DB109)+CW109</f>
        <v/>
      </c>
      <c r="DE109" s="15">
        <f>CF109*(1+M109)-CH109-CS109-CY109+Y109+AA109</f>
        <v/>
      </c>
      <c r="DF109" s="15">
        <f>CG109*(1+M109)-CI109-CT109-CZ109+Z109+AB109</f>
        <v/>
      </c>
      <c r="DG109" s="15">
        <f>CJ109*(1+M109)-CU109+CX109</f>
        <v/>
      </c>
      <c r="DH109" s="15">
        <f>AE109+CR109+CH109+CI109+CX109+CV109+BS109+AI109+CA109+CB109</f>
        <v/>
      </c>
      <c r="DI109" s="15">
        <f>CE109+DB109+BU109</f>
        <v/>
      </c>
      <c r="DJ109" s="15">
        <f>IF((DH109+DI109+0.5*F109)&lt;=tax_tables!$B$14,0,IF((DH109+DI109+0.5*F109)&lt;=tax_tables!$B$15,MIN(0.5*F109,0.5*((DH109+DI109+0.5*F109)-tax_tables!$B$14)),MIN(0.85*F109,0.85*((DH109+DI109+0.5*F109)-tax_tables!$B$15)+MIN(0.5*F109,tax_tables!$B$15-tax_tables!$B$14))))</f>
        <v/>
      </c>
      <c r="DK109" s="15">
        <f>DH109+DI109+DJ109</f>
        <v/>
      </c>
      <c r="DL109" s="12">
        <f>(B109&gt;=65)+(C109&gt;=65)</f>
        <v/>
      </c>
      <c r="DM109" s="15">
        <f>(tax_tables!$B$5+tax_tables!$B$6*DL109)*P109</f>
        <v/>
      </c>
      <c r="DN109" s="15">
        <f>IF(AND(A109&gt;=tax_tables!$B$8,A109&lt;=tax_tables!$B$9),DL109*MAX(0,tax_tables!$B$7-tax_tables!$B$11*MAX(0,DK109-tax_tables!$B$10)),0)</f>
        <v/>
      </c>
      <c r="DO109" s="15">
        <f>IFERROR(MAX(tax_tables!$B$16,INDEX(tax_tables!$W$5:$W$8,MATCH(A109,tax_tables!$V$5:$V$8,0))-tax_tables!$B$18*MAX(0,DK109-tax_tables!$B$17*1.01^(A109-tax_tables!$B$4))),tax_tables!$B$16)</f>
        <v/>
      </c>
      <c r="DP109" s="15">
        <f>MAX(0,BM109-BB109-tax_tables!$B$23*DK109)</f>
        <v/>
      </c>
      <c r="DQ109" s="15">
        <f>AN109+MIN(DO109,DY108+DZ108+EA108+AL109*properties!$H$2*O109)+DP109+$B$61*O109</f>
        <v/>
      </c>
      <c r="DR109" s="15">
        <f>MAX(DM109,DQ109)</f>
        <v/>
      </c>
      <c r="DS109" s="15">
        <f>MAX(0,DH109+DJ109-DR109-DN109)</f>
        <v/>
      </c>
      <c r="DT109" s="15">
        <f>MAX(0,DI109-MAX(0,DR109+DN109-DH109-DJ109))</f>
        <v/>
      </c>
      <c r="DU109" s="15">
        <f>SUMPRODUCT((DS109&gt;tax_tables!$E$5:$E$16*P109)*(DS109-tax_tables!$E$5:$E$16*P109)*tax_tables!$G$5:$G$16)+SUMPRODUCT(((DS109+DT109)&gt;tax_tables!$I$5:$I$16*P109)*((DS109+DT109)-tax_tables!$I$5:$I$16*P109)*tax_tables!$K$5:$K$16)-SUMPRODUCT((DS109&gt;tax_tables!$I$5:$I$16*P109)*(DS109-tax_tables!$I$5:$I$16*P109)*tax_tables!$K$5:$K$16)+tax_tables!$B$19*BV109+tax_tables!$B$12*MIN(CE109+DB109+BS109+BU109,MAX(0,DK109-tax_tables!$B$13))</f>
        <v/>
      </c>
      <c r="DV109" s="12">
        <f>IF($B$39="",0,IF(A109&gt;=$B$39,1,0))</f>
        <v/>
      </c>
      <c r="DW109" s="15">
        <f>IF(B109+0.5&gt;=tax_tables!$B$30,MIN(CS109+CH109+CY109+CA109,tax_tables!$B$29),0)+IF(C109+0.5&gt;=tax_tables!$B$30,MIN(CT109+CI109+CZ109+CB109,tax_tables!$B$29),0)</f>
        <v/>
      </c>
      <c r="DX109" s="15">
        <f>MAX(0,DK109-tax_tables!$B$28*DJ109-DW109-tax_tables!$B$26*IF(tax_tables!$B$27=1,P109,1))</f>
        <v/>
      </c>
      <c r="DY109" s="15">
        <f>(1-DV109)*SUMPRODUCT((DX109&gt;tax_tables!$M$5:$M$16*IF(tax_tables!$B$27=1,P109,1))*(DX109-tax_tables!$M$5:$M$16*IF(tax_tables!$B$27=1,P109,1))*tax_tables!$O$5:$O$16)</f>
        <v/>
      </c>
      <c r="DZ109" s="15">
        <f>(1-DV109)*tax_tables!$B$31*DX109</f>
        <v/>
      </c>
      <c r="EA109" s="15">
        <f>DV109*$B$40*MAX(0,DK109-DJ109)</f>
        <v/>
      </c>
      <c r="EB109" s="15">
        <f>DU109+DY109+DZ109+EA109</f>
        <v/>
      </c>
      <c r="EC109" s="15">
        <f>DC109+DE109+DF109+DG109+BP109</f>
        <v/>
      </c>
      <c r="ED109" s="15">
        <f>EC109+BW109-AP109+BX109</f>
        <v/>
      </c>
    </row>
    <row r="110">
      <c r="A110" s="12">
        <f>A109+1</f>
        <v/>
      </c>
      <c r="B110" s="12">
        <f>A110-household!$B$6</f>
        <v/>
      </c>
      <c r="C110" s="12">
        <f>A110-household!$B$9</f>
        <v/>
      </c>
      <c r="D110" s="15">
        <f>AS110+AT110+AU110+AV110+AZ110+BM110+AK110</f>
        <v/>
      </c>
      <c r="E110" s="15">
        <f>CN110+AG110+AF110</f>
        <v/>
      </c>
      <c r="F110" s="15">
        <f>BY110+BZ110</f>
        <v/>
      </c>
      <c r="G110" s="15">
        <f>CQ110+CR110+CU110+CH110+CI110+CE110-CW110+CV110+BO110</f>
        <v/>
      </c>
      <c r="H110" s="22">
        <f>IF(CC110+CF110+CG110+CJ110+BN110&lt;=0,"",G110/(CC110+CF110+CG110+CJ110+BN110))</f>
        <v/>
      </c>
      <c r="I110" s="23">
        <f>EC110/O110</f>
        <v/>
      </c>
      <c r="J110" s="23">
        <f>ED110/O110</f>
        <v/>
      </c>
      <c r="K110" s="15">
        <f>MAX(0,CP110-CQ110-CR110-CU110-CV110)</f>
        <v/>
      </c>
      <c r="L110" s="11" t="n"/>
      <c r="M110" s="22">
        <f>IF(L110="",$B$19,L110)</f>
        <v/>
      </c>
      <c r="N110" s="14" t="n"/>
      <c r="O110" s="13">
        <f>(1+$B$18)^(A110-household!$B$4+1)</f>
        <v/>
      </c>
      <c r="P110" s="13">
        <f>(1+$B$18)^(A110-tax_tables!$B$4)</f>
        <v/>
      </c>
      <c r="Q110" s="13">
        <f>(1+$B$21)^(A110-household!$B$4+1)</f>
        <v/>
      </c>
      <c r="R110" s="13">
        <f>(1+$B$22)^(A110-household!$B$4+1)</f>
        <v/>
      </c>
      <c r="S110" s="13">
        <f>(1+$B$23)^(A110-household!$B$4+1)</f>
        <v/>
      </c>
      <c r="T110" s="12">
        <f>IF(A110&lt;$B$5,1,0)</f>
        <v/>
      </c>
      <c r="U110" s="12">
        <f>IF(A110&lt;$B$6,1,0)</f>
        <v/>
      </c>
      <c r="V110" s="12">
        <f>IF(T110+U110&gt;0,1,0)</f>
        <v/>
      </c>
      <c r="W110" s="15">
        <f>T110*$B$7*O110+SUMPRODUCT(($B$83:$B$88=A110)*($D$83:$D$88="Wages: person 1")*$C$83:$C$88)*O110</f>
        <v/>
      </c>
      <c r="X110" s="15">
        <f>U110*$B$8*O110+SUMPRODUCT(($B$83:$B$88=A110)*($D$83:$D$88="Wages: person 2")*$C$83:$C$88)*O110</f>
        <v/>
      </c>
      <c r="Y110" s="15">
        <f>T110*$B$9*O110</f>
        <v/>
      </c>
      <c r="Z110" s="15">
        <f>U110*$B$10*O110</f>
        <v/>
      </c>
      <c r="AA110" s="15">
        <f>T110*$B$11*O110</f>
        <v/>
      </c>
      <c r="AB110" s="15">
        <f>U110*$B$12*O110</f>
        <v/>
      </c>
      <c r="AC110" s="15">
        <f>V110*$B$13*O110</f>
        <v/>
      </c>
      <c r="AD110" s="15">
        <f>W110+X110</f>
        <v/>
      </c>
      <c r="AE110" s="15">
        <f>AD110-Y110-Z110-AC110</f>
        <v/>
      </c>
      <c r="AF110" s="15">
        <f>0.062*MIN(W110,tax_tables!$B$21*P110)+0.062*MIN(X110,tax_tables!$B$21*P110)+0.0145*AD110+0.009*MAX(0,AD110-tax_tables!$B$22)</f>
        <v/>
      </c>
      <c r="AG110" s="15">
        <f>$B$14*AE110</f>
        <v/>
      </c>
      <c r="AH110" s="15">
        <f>AD110-Y110-Z110-AC110-AF110-AG110</f>
        <v/>
      </c>
      <c r="AI110" s="15">
        <f>SUMPRODUCT(($B$83:$B$88=A110)*($D$83:$D$88="Other taxable income")*$C$83:$C$88)*O110</f>
        <v/>
      </c>
      <c r="AJ110" s="15">
        <f>SUMPRODUCT(($B$83:$B$88=A110)*($D$83:$D$88="Tax-free money in")*$C$83:$C$88)*O110</f>
        <v/>
      </c>
      <c r="AK110" s="15">
        <f>SUMPRODUCT(($B$83:$B$88=A110)*($D$83:$D$88="Expense")*$C$83:$C$88)*O110</f>
        <v/>
      </c>
      <c r="AL110" s="12">
        <f>IF(OR($B$75="",A110&lt;$B$75),1,0)</f>
        <v/>
      </c>
      <c r="AM110" s="15">
        <f>AP109</f>
        <v/>
      </c>
      <c r="AN110" s="15">
        <f>AL110*AM110*properties!$J$2</f>
        <v/>
      </c>
      <c r="AO110" s="15">
        <f>AL110*MIN(properties!$K$2,AM110+AN110)</f>
        <v/>
      </c>
      <c r="AP110" s="15">
        <f>AL110*(AM110+AN110-AO110)</f>
        <v/>
      </c>
      <c r="AQ110" s="15">
        <f>AL110*properties!$G$2*O110</f>
        <v/>
      </c>
      <c r="AR110" s="15">
        <f>(1-AL110)*$E$75*O110</f>
        <v/>
      </c>
      <c r="AS110" s="15">
        <f>AO110+AQ110+AR110</f>
        <v/>
      </c>
      <c r="AT110" s="15">
        <f>SUMIF(budget!$A$2:$A$300,"household",budget!$F$2:$F$300)*O110*IF(N110="",1,N110)</f>
        <v/>
      </c>
      <c r="AU110" s="15">
        <f>SUMPRODUCT((other_budget!$C$2:$C$30&lt;=A110)*(other_budget!$D$2:$D$30&gt;=A110)*other_budget!$B$2:$B$30)*O110</f>
        <v/>
      </c>
      <c r="AV110" s="15">
        <f>SUMPRODUCT((kids_budget!$D$2:$D$40&lt;=A110)*(kids_budget!$E$2:$E$40&gt;=A110)*(kids_budget!$G$2:$G$40&lt;&gt;"college_funds")*kids_budget!$C$2:$C$40*((kids_budget!$F$2:$F$40="college")*R110+(kids_budget!$F$2:$F$40&lt;&gt;"college")*O110))</f>
        <v/>
      </c>
      <c r="AW110" s="15">
        <f>SUMPRODUCT((kids_budget!$D$2:$D$40&lt;=A110)*(kids_budget!$E$2:$E$40&gt;=A110)*(kids_budget!$G$2:$G$40="college_funds")*kids_budget!$C$2:$C$40*((kids_budget!$F$2:$F$40="college")*R110+(kids_budget!$F$2:$F$40&lt;&gt;"college")*O110))</f>
        <v/>
      </c>
      <c r="AX110" s="15">
        <f>BA109</f>
        <v/>
      </c>
      <c r="AY110" s="15">
        <f>MIN(AW110,AX110*(1+M110))</f>
        <v/>
      </c>
      <c r="AZ110" s="15">
        <f>AW110-AY110</f>
        <v/>
      </c>
      <c r="BA110" s="15">
        <f>AX110*(1+M110)-AY110</f>
        <v/>
      </c>
      <c r="BB110" s="15">
        <f>V110*healthcare!$B$5*Q110</f>
        <v/>
      </c>
      <c r="BC110" s="12">
        <f>(1-V110)*((B110&lt;65)+(C110&lt;65))</f>
        <v/>
      </c>
      <c r="BD110" s="12">
        <f>COUNTIF(household!$C$16:$C$23,"&gt;="&amp;A110)</f>
        <v/>
      </c>
      <c r="BE110" s="15">
        <f>(BC110*healthcare!$B$2+IF(BC110&gt;0,BD110,0)*healthcare!$B$3)*12*Q110</f>
        <v/>
      </c>
      <c r="BF110" s="15">
        <f>IF(BC110&gt;0,(BC110+BD110)*healthcare!$B$4*Q110,0)</f>
        <v/>
      </c>
      <c r="BG110" s="12">
        <f>(B110&gt;=65)+(C110&gt;=65)</f>
        <v/>
      </c>
      <c r="BH110" s="15">
        <f>BG110*(healthcare!$B$6+healthcare!$B$7+healthcare!$B$8)*12*Q110</f>
        <v/>
      </c>
      <c r="BI110" s="15">
        <f>BG110*healthcare!$B$9*Q110</f>
        <v/>
      </c>
      <c r="BJ110" s="15">
        <f>BG110*12*O110*SUMPRODUCT((DK108&gt;tax_tables!$Q$5:$Q$9*P110)*tax_tables!$T$5:$T$9)</f>
        <v/>
      </c>
      <c r="BK110" s="12">
        <f>AND(B110&gt;=$B$51,B110&lt;$B$51+$B$52)*1+AND(C110&gt;=$B$53,C110&lt;$B$53+$B$54)*1</f>
        <v/>
      </c>
      <c r="BL110" s="15">
        <f>BK110*$B$55*S110</f>
        <v/>
      </c>
      <c r="BM110" s="15">
        <f>BB110+BE110+BF110+BH110+BI110+BJ110+BL110</f>
        <v/>
      </c>
      <c r="BN110" s="15">
        <f>BP109</f>
        <v/>
      </c>
      <c r="BO110" s="15">
        <f>IF(V110=1,0,MIN(BN110*(1+M110),BF110+BG110*(healthcare!$B$6+healthcare!$B$7)*12*Q110+BI110+BJ110+BL110))</f>
        <v/>
      </c>
      <c r="BP110" s="15">
        <f>BN110*(1+M110)-BO110+AC110-CV110</f>
        <v/>
      </c>
      <c r="BQ110" s="15">
        <f>SUMPRODUCT((1-($B$76:$B$79&gt;0)*(A110&gt;=$B$76:$B$79))*(1-(($C$76:$C$79&gt;0)*(A110&gt;=$C$76:$C$79)))*(properties!$L$3:$L$6-properties!$M$3:$M$6))*O110+SUMPRODUCT((1-($B$76:$B$79&gt;0)*(A110&gt;=$B$76:$B$79))*(($C$76:$C$79&gt;0)*(A110&gt;=$C$76:$C$79))*($D$76:$D$79-$E$76:$E$79))*O110</f>
        <v/>
      </c>
      <c r="BR110" s="15">
        <f>SUMPRODUCT((1-($B$76:$B$79&gt;0)*(A110&gt;=$B$76:$B$79))*properties!$N$3:$N$6*(A110&lt;=properties!$O$3:$O$6))</f>
        <v/>
      </c>
      <c r="BS110" s="15">
        <f>MAX(0,BQ110-BR110)</f>
        <v/>
      </c>
      <c r="BT110" s="15">
        <f>SUMPRODUCT(($B$75:$B$79=A110)*$G$75:$G$79)</f>
        <v/>
      </c>
      <c r="BU110" s="15">
        <f>SUMPRODUCT(($B$75:$B$79=A110)*$H$75:$H$79)</f>
        <v/>
      </c>
      <c r="BV110" s="15">
        <f>SUMPRODUCT(($B$75:$B$79=A110)*$I$75:$I$79)</f>
        <v/>
      </c>
      <c r="BW110" s="15">
        <f>AL110*properties!$C$2*(1+properties!$D$2)^(A110-household!$B$4+1)</f>
        <v/>
      </c>
      <c r="BX110" s="15">
        <f>SUMPRODUCT((1-($B$76:$B$79&gt;0)*(A110&gt;=$B$76:$B$79))*properties!$C$3:$C$6*(1+properties!$D$3:$D$6)^(A110-household!$B$4+1))</f>
        <v/>
      </c>
      <c r="BY110" s="15">
        <f>IF(A110&gt;=$B$31,IF(A110&gt;=$B$32,MAX(household!$B$11*12*(1-$B$28)*O110*IF(A110&gt;=$B$30,1-$B$29,1)*$B$33,0.5*household!$B$12*12*(1-$B$28)*O110*IF(A110&gt;=$B$30,1-$B$29,1)*$B$35),household!$B$11*12*(1-$B$28)*O110*IF(A110&gt;=$B$30,1-$B$29,1)*$B$33),0)</f>
        <v/>
      </c>
      <c r="BZ110" s="15">
        <f>IF(A110&gt;=$B$32,IF(A110&gt;=$B$31,MAX(household!$B$12*12*(1-$B$28)*O110*IF(A110&gt;=$B$30,1-$B$29,1)*$B$34,0.5*household!$B$11*12*(1-$B$28)*O110*IF(A110&gt;=$B$30,1-$B$29,1)*$B$36),household!$B$12*12*(1-$B$28)*O110*IF(A110&gt;=$B$30,1-$B$29,1)*$B$34),0)</f>
        <v/>
      </c>
      <c r="CA110" s="15">
        <f>IF(AND($B$43&lt;&gt;0,A110&gt;=household!$B$6+$B$44),$B$43*(1+$B$18)^(MAX(household!$B$6+$B$44,household!$B$4-1)-household!$B$4+1)*(1+$B$47*$B$18)^(A110-MAX(household!$B$6+$B$44,household!$B$4-1)),0)</f>
        <v/>
      </c>
      <c r="CB110" s="15">
        <f>IF(AND($B$45&lt;&gt;0,A110&gt;=household!$B$9+$B$46),$B$45*(1+$B$18)^(MAX(household!$B$9+$B$46,household!$B$4-1)-household!$B$4+1)*(1+$B$47*$B$18)^(A110-MAX(household!$B$9+$B$46,household!$B$4-1)),0)</f>
        <v/>
      </c>
      <c r="CC110" s="15">
        <f>DC109</f>
        <v/>
      </c>
      <c r="CD110" s="15">
        <f>DD109</f>
        <v/>
      </c>
      <c r="CE110" s="15">
        <f>$B$20*CC110</f>
        <v/>
      </c>
      <c r="CF110" s="15">
        <f>DE109</f>
        <v/>
      </c>
      <c r="CG110" s="15">
        <f>DF109</f>
        <v/>
      </c>
      <c r="CH110" s="15">
        <f>IF(B110&gt;=$B$71,MAX(0,CF110)/INDEX(tax_tables!$Z$5:$Z$53,MATCH(B110,tax_tables!$Y$5:$Y$53,0)),0)</f>
        <v/>
      </c>
      <c r="CI110" s="15">
        <f>IF(C110&gt;=$B$72,MAX(0,CG110)/INDEX(tax_tables!$Z$5:$Z$53,MATCH(C110,tax_tables!$Y$5:$Y$53,0)),0)</f>
        <v/>
      </c>
      <c r="CJ110" s="15">
        <f>DG109</f>
        <v/>
      </c>
      <c r="CK110" s="15">
        <f>IF(OR($B$59="",$B$60=""),0,IF(AND(A110&gt;=$B$59,A110&lt;=$B$60),$B$58*O110,0))</f>
        <v/>
      </c>
      <c r="CL110" s="15">
        <f>MAX(0,CF110*(1+M110)-CH110)</f>
        <v/>
      </c>
      <c r="CM110" s="15">
        <f>MAX(0,CG110*(1+M110)-CI110)</f>
        <v/>
      </c>
      <c r="CN110" s="15">
        <f>EB109-AG109</f>
        <v/>
      </c>
      <c r="CO110" s="15">
        <f>AH110+F110+CA110+CB110+BQ110+CE110+CH110+CI110+BT110+AI110+AJ110+BO110</f>
        <v/>
      </c>
      <c r="CP110" s="15">
        <f>D110+CN110-CO110</f>
        <v/>
      </c>
      <c r="CQ110" s="15">
        <f>MAX(0,MIN(CP110,CC110*(1+M110-$B$20)))</f>
        <v/>
      </c>
      <c r="CR110" s="15">
        <f>MAX(0,MIN(CP110-CQ110,CL110+CM110))</f>
        <v/>
      </c>
      <c r="CS110" s="15">
        <f>IF(CL110+CM110&gt;1,CR110*CL110/(CL110+CM110),0)</f>
        <v/>
      </c>
      <c r="CT110" s="15">
        <f>CR110-CS110</f>
        <v/>
      </c>
      <c r="CU110" s="15">
        <f>MAX(0,MIN(CP110-CQ110-CR110,CJ110*(1+M110)))</f>
        <v/>
      </c>
      <c r="CV110" s="15">
        <f>MAX(0,MIN(CP110-CQ110-CR110-CU110,BN110*(1+M110)-BO110+AC110))</f>
        <v/>
      </c>
      <c r="CW110" s="15">
        <f>MAX(0,-CP110)</f>
        <v/>
      </c>
      <c r="CX110" s="15">
        <f>MIN(CK110,CL110-CS110+CM110-CT110)</f>
        <v/>
      </c>
      <c r="CY110" s="15">
        <f>IF(CL110-CS110+CM110-CT110&gt;1,CX110*(CL110-CS110)/(CL110-CS110+CM110-CT110),0)</f>
        <v/>
      </c>
      <c r="CZ110" s="15">
        <f>CX110-CY110</f>
        <v/>
      </c>
      <c r="DA110" s="22">
        <f>IF(CC110&gt;0,MAX(0,1-CD110/CC110),0)</f>
        <v/>
      </c>
      <c r="DB110" s="15">
        <f>CQ110*DA110</f>
        <v/>
      </c>
      <c r="DC110" s="15">
        <f>CC110*(1+M110-$B$20)-CQ110+CW110</f>
        <v/>
      </c>
      <c r="DD110" s="15">
        <f>CD110-(CQ110-DB110)+CW110</f>
        <v/>
      </c>
      <c r="DE110" s="15">
        <f>CF110*(1+M110)-CH110-CS110-CY110+Y110+AA110</f>
        <v/>
      </c>
      <c r="DF110" s="15">
        <f>CG110*(1+M110)-CI110-CT110-CZ110+Z110+AB110</f>
        <v/>
      </c>
      <c r="DG110" s="15">
        <f>CJ110*(1+M110)-CU110+CX110</f>
        <v/>
      </c>
      <c r="DH110" s="15">
        <f>AE110+CR110+CH110+CI110+CX110+CV110+BS110+AI110+CA110+CB110</f>
        <v/>
      </c>
      <c r="DI110" s="15">
        <f>CE110+DB110+BU110</f>
        <v/>
      </c>
      <c r="DJ110" s="15">
        <f>IF((DH110+DI110+0.5*F110)&lt;=tax_tables!$B$14,0,IF((DH110+DI110+0.5*F110)&lt;=tax_tables!$B$15,MIN(0.5*F110,0.5*((DH110+DI110+0.5*F110)-tax_tables!$B$14)),MIN(0.85*F110,0.85*((DH110+DI110+0.5*F110)-tax_tables!$B$15)+MIN(0.5*F110,tax_tables!$B$15-tax_tables!$B$14))))</f>
        <v/>
      </c>
      <c r="DK110" s="15">
        <f>DH110+DI110+DJ110</f>
        <v/>
      </c>
      <c r="DL110" s="12">
        <f>(B110&gt;=65)+(C110&gt;=65)</f>
        <v/>
      </c>
      <c r="DM110" s="15">
        <f>(tax_tables!$B$5+tax_tables!$B$6*DL110)*P110</f>
        <v/>
      </c>
      <c r="DN110" s="15">
        <f>IF(AND(A110&gt;=tax_tables!$B$8,A110&lt;=tax_tables!$B$9),DL110*MAX(0,tax_tables!$B$7-tax_tables!$B$11*MAX(0,DK110-tax_tables!$B$10)),0)</f>
        <v/>
      </c>
      <c r="DO110" s="15">
        <f>IFERROR(MAX(tax_tables!$B$16,INDEX(tax_tables!$W$5:$W$8,MATCH(A110,tax_tables!$V$5:$V$8,0))-tax_tables!$B$18*MAX(0,DK110-tax_tables!$B$17*1.01^(A110-tax_tables!$B$4))),tax_tables!$B$16)</f>
        <v/>
      </c>
      <c r="DP110" s="15">
        <f>MAX(0,BM110-BB110-tax_tables!$B$23*DK110)</f>
        <v/>
      </c>
      <c r="DQ110" s="15">
        <f>AN110+MIN(DO110,DY109+DZ109+EA109+AL110*properties!$H$2*O110)+DP110+$B$61*O110</f>
        <v/>
      </c>
      <c r="DR110" s="15">
        <f>MAX(DM110,DQ110)</f>
        <v/>
      </c>
      <c r="DS110" s="15">
        <f>MAX(0,DH110+DJ110-DR110-DN110)</f>
        <v/>
      </c>
      <c r="DT110" s="15">
        <f>MAX(0,DI110-MAX(0,DR110+DN110-DH110-DJ110))</f>
        <v/>
      </c>
      <c r="DU110" s="15">
        <f>SUMPRODUCT((DS110&gt;tax_tables!$E$5:$E$16*P110)*(DS110-tax_tables!$E$5:$E$16*P110)*tax_tables!$G$5:$G$16)+SUMPRODUCT(((DS110+DT110)&gt;tax_tables!$I$5:$I$16*P110)*((DS110+DT110)-tax_tables!$I$5:$I$16*P110)*tax_tables!$K$5:$K$16)-SUMPRODUCT((DS110&gt;tax_tables!$I$5:$I$16*P110)*(DS110-tax_tables!$I$5:$I$16*P110)*tax_tables!$K$5:$K$16)+tax_tables!$B$19*BV110+tax_tables!$B$12*MIN(CE110+DB110+BS110+BU110,MAX(0,DK110-tax_tables!$B$13))</f>
        <v/>
      </c>
      <c r="DV110" s="12">
        <f>IF($B$39="",0,IF(A110&gt;=$B$39,1,0))</f>
        <v/>
      </c>
      <c r="DW110" s="15">
        <f>IF(B110+0.5&gt;=tax_tables!$B$30,MIN(CS110+CH110+CY110+CA110,tax_tables!$B$29),0)+IF(C110+0.5&gt;=tax_tables!$B$30,MIN(CT110+CI110+CZ110+CB110,tax_tables!$B$29),0)</f>
        <v/>
      </c>
      <c r="DX110" s="15">
        <f>MAX(0,DK110-tax_tables!$B$28*DJ110-DW110-tax_tables!$B$26*IF(tax_tables!$B$27=1,P110,1))</f>
        <v/>
      </c>
      <c r="DY110" s="15">
        <f>(1-DV110)*SUMPRODUCT((DX110&gt;tax_tables!$M$5:$M$16*IF(tax_tables!$B$27=1,P110,1))*(DX110-tax_tables!$M$5:$M$16*IF(tax_tables!$B$27=1,P110,1))*tax_tables!$O$5:$O$16)</f>
        <v/>
      </c>
      <c r="DZ110" s="15">
        <f>(1-DV110)*tax_tables!$B$31*DX110</f>
        <v/>
      </c>
      <c r="EA110" s="15">
        <f>DV110*$B$40*MAX(0,DK110-DJ110)</f>
        <v/>
      </c>
      <c r="EB110" s="15">
        <f>DU110+DY110+DZ110+EA110</f>
        <v/>
      </c>
      <c r="EC110" s="15">
        <f>DC110+DE110+DF110+DG110+BP110</f>
        <v/>
      </c>
      <c r="ED110" s="15">
        <f>EC110+BW110-AP110+BX110</f>
        <v/>
      </c>
    </row>
    <row r="111">
      <c r="A111" s="12">
        <f>A110+1</f>
        <v/>
      </c>
      <c r="B111" s="12">
        <f>A111-household!$B$6</f>
        <v/>
      </c>
      <c r="C111" s="12">
        <f>A111-household!$B$9</f>
        <v/>
      </c>
      <c r="D111" s="15">
        <f>AS111+AT111+AU111+AV111+AZ111+BM111+AK111</f>
        <v/>
      </c>
      <c r="E111" s="15">
        <f>CN111+AG111+AF111</f>
        <v/>
      </c>
      <c r="F111" s="15">
        <f>BY111+BZ111</f>
        <v/>
      </c>
      <c r="G111" s="15">
        <f>CQ111+CR111+CU111+CH111+CI111+CE111-CW111+CV111+BO111</f>
        <v/>
      </c>
      <c r="H111" s="22">
        <f>IF(CC111+CF111+CG111+CJ111+BN111&lt;=0,"",G111/(CC111+CF111+CG111+CJ111+BN111))</f>
        <v/>
      </c>
      <c r="I111" s="23">
        <f>EC111/O111</f>
        <v/>
      </c>
      <c r="J111" s="23">
        <f>ED111/O111</f>
        <v/>
      </c>
      <c r="K111" s="15">
        <f>MAX(0,CP111-CQ111-CR111-CU111-CV111)</f>
        <v/>
      </c>
      <c r="L111" s="11" t="n"/>
      <c r="M111" s="22">
        <f>IF(L111="",$B$19,L111)</f>
        <v/>
      </c>
      <c r="N111" s="14" t="n"/>
      <c r="O111" s="13">
        <f>(1+$B$18)^(A111-household!$B$4+1)</f>
        <v/>
      </c>
      <c r="P111" s="13">
        <f>(1+$B$18)^(A111-tax_tables!$B$4)</f>
        <v/>
      </c>
      <c r="Q111" s="13">
        <f>(1+$B$21)^(A111-household!$B$4+1)</f>
        <v/>
      </c>
      <c r="R111" s="13">
        <f>(1+$B$22)^(A111-household!$B$4+1)</f>
        <v/>
      </c>
      <c r="S111" s="13">
        <f>(1+$B$23)^(A111-household!$B$4+1)</f>
        <v/>
      </c>
      <c r="T111" s="12">
        <f>IF(A111&lt;$B$5,1,0)</f>
        <v/>
      </c>
      <c r="U111" s="12">
        <f>IF(A111&lt;$B$6,1,0)</f>
        <v/>
      </c>
      <c r="V111" s="12">
        <f>IF(T111+U111&gt;0,1,0)</f>
        <v/>
      </c>
      <c r="W111" s="15">
        <f>T111*$B$7*O111+SUMPRODUCT(($B$83:$B$88=A111)*($D$83:$D$88="Wages: person 1")*$C$83:$C$88)*O111</f>
        <v/>
      </c>
      <c r="X111" s="15">
        <f>U111*$B$8*O111+SUMPRODUCT(($B$83:$B$88=A111)*($D$83:$D$88="Wages: person 2")*$C$83:$C$88)*O111</f>
        <v/>
      </c>
      <c r="Y111" s="15">
        <f>T111*$B$9*O111</f>
        <v/>
      </c>
      <c r="Z111" s="15">
        <f>U111*$B$10*O111</f>
        <v/>
      </c>
      <c r="AA111" s="15">
        <f>T111*$B$11*O111</f>
        <v/>
      </c>
      <c r="AB111" s="15">
        <f>U111*$B$12*O111</f>
        <v/>
      </c>
      <c r="AC111" s="15">
        <f>V111*$B$13*O111</f>
        <v/>
      </c>
      <c r="AD111" s="15">
        <f>W111+X111</f>
        <v/>
      </c>
      <c r="AE111" s="15">
        <f>AD111-Y111-Z111-AC111</f>
        <v/>
      </c>
      <c r="AF111" s="15">
        <f>0.062*MIN(W111,tax_tables!$B$21*P111)+0.062*MIN(X111,tax_tables!$B$21*P111)+0.0145*AD111+0.009*MAX(0,AD111-tax_tables!$B$22)</f>
        <v/>
      </c>
      <c r="AG111" s="15">
        <f>$B$14*AE111</f>
        <v/>
      </c>
      <c r="AH111" s="15">
        <f>AD111-Y111-Z111-AC111-AF111-AG111</f>
        <v/>
      </c>
      <c r="AI111" s="15">
        <f>SUMPRODUCT(($B$83:$B$88=A111)*($D$83:$D$88="Other taxable income")*$C$83:$C$88)*O111</f>
        <v/>
      </c>
      <c r="AJ111" s="15">
        <f>SUMPRODUCT(($B$83:$B$88=A111)*($D$83:$D$88="Tax-free money in")*$C$83:$C$88)*O111</f>
        <v/>
      </c>
      <c r="AK111" s="15">
        <f>SUMPRODUCT(($B$83:$B$88=A111)*($D$83:$D$88="Expense")*$C$83:$C$88)*O111</f>
        <v/>
      </c>
      <c r="AL111" s="12">
        <f>IF(OR($B$75="",A111&lt;$B$75),1,0)</f>
        <v/>
      </c>
      <c r="AM111" s="15">
        <f>AP110</f>
        <v/>
      </c>
      <c r="AN111" s="15">
        <f>AL111*AM111*properties!$J$2</f>
        <v/>
      </c>
      <c r="AO111" s="15">
        <f>AL111*MIN(properties!$K$2,AM111+AN111)</f>
        <v/>
      </c>
      <c r="AP111" s="15">
        <f>AL111*(AM111+AN111-AO111)</f>
        <v/>
      </c>
      <c r="AQ111" s="15">
        <f>AL111*properties!$G$2*O111</f>
        <v/>
      </c>
      <c r="AR111" s="15">
        <f>(1-AL111)*$E$75*O111</f>
        <v/>
      </c>
      <c r="AS111" s="15">
        <f>AO111+AQ111+AR111</f>
        <v/>
      </c>
      <c r="AT111" s="15">
        <f>SUMIF(budget!$A$2:$A$300,"household",budget!$F$2:$F$300)*O111*IF(N111="",1,N111)</f>
        <v/>
      </c>
      <c r="AU111" s="15">
        <f>SUMPRODUCT((other_budget!$C$2:$C$30&lt;=A111)*(other_budget!$D$2:$D$30&gt;=A111)*other_budget!$B$2:$B$30)*O111</f>
        <v/>
      </c>
      <c r="AV111" s="15">
        <f>SUMPRODUCT((kids_budget!$D$2:$D$40&lt;=A111)*(kids_budget!$E$2:$E$40&gt;=A111)*(kids_budget!$G$2:$G$40&lt;&gt;"college_funds")*kids_budget!$C$2:$C$40*((kids_budget!$F$2:$F$40="college")*R111+(kids_budget!$F$2:$F$40&lt;&gt;"college")*O111))</f>
        <v/>
      </c>
      <c r="AW111" s="15">
        <f>SUMPRODUCT((kids_budget!$D$2:$D$40&lt;=A111)*(kids_budget!$E$2:$E$40&gt;=A111)*(kids_budget!$G$2:$G$40="college_funds")*kids_budget!$C$2:$C$40*((kids_budget!$F$2:$F$40="college")*R111+(kids_budget!$F$2:$F$40&lt;&gt;"college")*O111))</f>
        <v/>
      </c>
      <c r="AX111" s="15">
        <f>BA110</f>
        <v/>
      </c>
      <c r="AY111" s="15">
        <f>MIN(AW111,AX111*(1+M111))</f>
        <v/>
      </c>
      <c r="AZ111" s="15">
        <f>AW111-AY111</f>
        <v/>
      </c>
      <c r="BA111" s="15">
        <f>AX111*(1+M111)-AY111</f>
        <v/>
      </c>
      <c r="BB111" s="15">
        <f>V111*healthcare!$B$5*Q111</f>
        <v/>
      </c>
      <c r="BC111" s="12">
        <f>(1-V111)*((B111&lt;65)+(C111&lt;65))</f>
        <v/>
      </c>
      <c r="BD111" s="12">
        <f>COUNTIF(household!$C$16:$C$23,"&gt;="&amp;A111)</f>
        <v/>
      </c>
      <c r="BE111" s="15">
        <f>(BC111*healthcare!$B$2+IF(BC111&gt;0,BD111,0)*healthcare!$B$3)*12*Q111</f>
        <v/>
      </c>
      <c r="BF111" s="15">
        <f>IF(BC111&gt;0,(BC111+BD111)*healthcare!$B$4*Q111,0)</f>
        <v/>
      </c>
      <c r="BG111" s="12">
        <f>(B111&gt;=65)+(C111&gt;=65)</f>
        <v/>
      </c>
      <c r="BH111" s="15">
        <f>BG111*(healthcare!$B$6+healthcare!$B$7+healthcare!$B$8)*12*Q111</f>
        <v/>
      </c>
      <c r="BI111" s="15">
        <f>BG111*healthcare!$B$9*Q111</f>
        <v/>
      </c>
      <c r="BJ111" s="15">
        <f>BG111*12*O111*SUMPRODUCT((DK109&gt;tax_tables!$Q$5:$Q$9*P111)*tax_tables!$T$5:$T$9)</f>
        <v/>
      </c>
      <c r="BK111" s="12">
        <f>AND(B111&gt;=$B$51,B111&lt;$B$51+$B$52)*1+AND(C111&gt;=$B$53,C111&lt;$B$53+$B$54)*1</f>
        <v/>
      </c>
      <c r="BL111" s="15">
        <f>BK111*$B$55*S111</f>
        <v/>
      </c>
      <c r="BM111" s="15">
        <f>BB111+BE111+BF111+BH111+BI111+BJ111+BL111</f>
        <v/>
      </c>
      <c r="BN111" s="15">
        <f>BP110</f>
        <v/>
      </c>
      <c r="BO111" s="15">
        <f>IF(V111=1,0,MIN(BN111*(1+M111),BF111+BG111*(healthcare!$B$6+healthcare!$B$7)*12*Q111+BI111+BJ111+BL111))</f>
        <v/>
      </c>
      <c r="BP111" s="15">
        <f>BN111*(1+M111)-BO111+AC111-CV111</f>
        <v/>
      </c>
      <c r="BQ111" s="15">
        <f>SUMPRODUCT((1-($B$76:$B$79&gt;0)*(A111&gt;=$B$76:$B$79))*(1-(($C$76:$C$79&gt;0)*(A111&gt;=$C$76:$C$79)))*(properties!$L$3:$L$6-properties!$M$3:$M$6))*O111+SUMPRODUCT((1-($B$76:$B$79&gt;0)*(A111&gt;=$B$76:$B$79))*(($C$76:$C$79&gt;0)*(A111&gt;=$C$76:$C$79))*($D$76:$D$79-$E$76:$E$79))*O111</f>
        <v/>
      </c>
      <c r="BR111" s="15">
        <f>SUMPRODUCT((1-($B$76:$B$79&gt;0)*(A111&gt;=$B$76:$B$79))*properties!$N$3:$N$6*(A111&lt;=properties!$O$3:$O$6))</f>
        <v/>
      </c>
      <c r="BS111" s="15">
        <f>MAX(0,BQ111-BR111)</f>
        <v/>
      </c>
      <c r="BT111" s="15">
        <f>SUMPRODUCT(($B$75:$B$79=A111)*$G$75:$G$79)</f>
        <v/>
      </c>
      <c r="BU111" s="15">
        <f>SUMPRODUCT(($B$75:$B$79=A111)*$H$75:$H$79)</f>
        <v/>
      </c>
      <c r="BV111" s="15">
        <f>SUMPRODUCT(($B$75:$B$79=A111)*$I$75:$I$79)</f>
        <v/>
      </c>
      <c r="BW111" s="15">
        <f>AL111*properties!$C$2*(1+properties!$D$2)^(A111-household!$B$4+1)</f>
        <v/>
      </c>
      <c r="BX111" s="15">
        <f>SUMPRODUCT((1-($B$76:$B$79&gt;0)*(A111&gt;=$B$76:$B$79))*properties!$C$3:$C$6*(1+properties!$D$3:$D$6)^(A111-household!$B$4+1))</f>
        <v/>
      </c>
      <c r="BY111" s="15">
        <f>IF(A111&gt;=$B$31,IF(A111&gt;=$B$32,MAX(household!$B$11*12*(1-$B$28)*O111*IF(A111&gt;=$B$30,1-$B$29,1)*$B$33,0.5*household!$B$12*12*(1-$B$28)*O111*IF(A111&gt;=$B$30,1-$B$29,1)*$B$35),household!$B$11*12*(1-$B$28)*O111*IF(A111&gt;=$B$30,1-$B$29,1)*$B$33),0)</f>
        <v/>
      </c>
      <c r="BZ111" s="15">
        <f>IF(A111&gt;=$B$32,IF(A111&gt;=$B$31,MAX(household!$B$12*12*(1-$B$28)*O111*IF(A111&gt;=$B$30,1-$B$29,1)*$B$34,0.5*household!$B$11*12*(1-$B$28)*O111*IF(A111&gt;=$B$30,1-$B$29,1)*$B$36),household!$B$12*12*(1-$B$28)*O111*IF(A111&gt;=$B$30,1-$B$29,1)*$B$34),0)</f>
        <v/>
      </c>
      <c r="CA111" s="15">
        <f>IF(AND($B$43&lt;&gt;0,A111&gt;=household!$B$6+$B$44),$B$43*(1+$B$18)^(MAX(household!$B$6+$B$44,household!$B$4-1)-household!$B$4+1)*(1+$B$47*$B$18)^(A111-MAX(household!$B$6+$B$44,household!$B$4-1)),0)</f>
        <v/>
      </c>
      <c r="CB111" s="15">
        <f>IF(AND($B$45&lt;&gt;0,A111&gt;=household!$B$9+$B$46),$B$45*(1+$B$18)^(MAX(household!$B$9+$B$46,household!$B$4-1)-household!$B$4+1)*(1+$B$47*$B$18)^(A111-MAX(household!$B$9+$B$46,household!$B$4-1)),0)</f>
        <v/>
      </c>
      <c r="CC111" s="15">
        <f>DC110</f>
        <v/>
      </c>
      <c r="CD111" s="15">
        <f>DD110</f>
        <v/>
      </c>
      <c r="CE111" s="15">
        <f>$B$20*CC111</f>
        <v/>
      </c>
      <c r="CF111" s="15">
        <f>DE110</f>
        <v/>
      </c>
      <c r="CG111" s="15">
        <f>DF110</f>
        <v/>
      </c>
      <c r="CH111" s="15">
        <f>IF(B111&gt;=$B$71,MAX(0,CF111)/INDEX(tax_tables!$Z$5:$Z$53,MATCH(B111,tax_tables!$Y$5:$Y$53,0)),0)</f>
        <v/>
      </c>
      <c r="CI111" s="15">
        <f>IF(C111&gt;=$B$72,MAX(0,CG111)/INDEX(tax_tables!$Z$5:$Z$53,MATCH(C111,tax_tables!$Y$5:$Y$53,0)),0)</f>
        <v/>
      </c>
      <c r="CJ111" s="15">
        <f>DG110</f>
        <v/>
      </c>
      <c r="CK111" s="15">
        <f>IF(OR($B$59="",$B$60=""),0,IF(AND(A111&gt;=$B$59,A111&lt;=$B$60),$B$58*O111,0))</f>
        <v/>
      </c>
      <c r="CL111" s="15">
        <f>MAX(0,CF111*(1+M111)-CH111)</f>
        <v/>
      </c>
      <c r="CM111" s="15">
        <f>MAX(0,CG111*(1+M111)-CI111)</f>
        <v/>
      </c>
      <c r="CN111" s="15">
        <f>EB110-AG110</f>
        <v/>
      </c>
      <c r="CO111" s="15">
        <f>AH111+F111+CA111+CB111+BQ111+CE111+CH111+CI111+BT111+AI111+AJ111+BO111</f>
        <v/>
      </c>
      <c r="CP111" s="15">
        <f>D111+CN111-CO111</f>
        <v/>
      </c>
      <c r="CQ111" s="15">
        <f>MAX(0,MIN(CP111,CC111*(1+M111-$B$20)))</f>
        <v/>
      </c>
      <c r="CR111" s="15">
        <f>MAX(0,MIN(CP111-CQ111,CL111+CM111))</f>
        <v/>
      </c>
      <c r="CS111" s="15">
        <f>IF(CL111+CM111&gt;1,CR111*CL111/(CL111+CM111),0)</f>
        <v/>
      </c>
      <c r="CT111" s="15">
        <f>CR111-CS111</f>
        <v/>
      </c>
      <c r="CU111" s="15">
        <f>MAX(0,MIN(CP111-CQ111-CR111,CJ111*(1+M111)))</f>
        <v/>
      </c>
      <c r="CV111" s="15">
        <f>MAX(0,MIN(CP111-CQ111-CR111-CU111,BN111*(1+M111)-BO111+AC111))</f>
        <v/>
      </c>
      <c r="CW111" s="15">
        <f>MAX(0,-CP111)</f>
        <v/>
      </c>
      <c r="CX111" s="15">
        <f>MIN(CK111,CL111-CS111+CM111-CT111)</f>
        <v/>
      </c>
      <c r="CY111" s="15">
        <f>IF(CL111-CS111+CM111-CT111&gt;1,CX111*(CL111-CS111)/(CL111-CS111+CM111-CT111),0)</f>
        <v/>
      </c>
      <c r="CZ111" s="15">
        <f>CX111-CY111</f>
        <v/>
      </c>
      <c r="DA111" s="22">
        <f>IF(CC111&gt;0,MAX(0,1-CD111/CC111),0)</f>
        <v/>
      </c>
      <c r="DB111" s="15">
        <f>CQ111*DA111</f>
        <v/>
      </c>
      <c r="DC111" s="15">
        <f>CC111*(1+M111-$B$20)-CQ111+CW111</f>
        <v/>
      </c>
      <c r="DD111" s="15">
        <f>CD111-(CQ111-DB111)+CW111</f>
        <v/>
      </c>
      <c r="DE111" s="15">
        <f>CF111*(1+M111)-CH111-CS111-CY111+Y111+AA111</f>
        <v/>
      </c>
      <c r="DF111" s="15">
        <f>CG111*(1+M111)-CI111-CT111-CZ111+Z111+AB111</f>
        <v/>
      </c>
      <c r="DG111" s="15">
        <f>CJ111*(1+M111)-CU111+CX111</f>
        <v/>
      </c>
      <c r="DH111" s="15">
        <f>AE111+CR111+CH111+CI111+CX111+CV111+BS111+AI111+CA111+CB111</f>
        <v/>
      </c>
      <c r="DI111" s="15">
        <f>CE111+DB111+BU111</f>
        <v/>
      </c>
      <c r="DJ111" s="15">
        <f>IF((DH111+DI111+0.5*F111)&lt;=tax_tables!$B$14,0,IF((DH111+DI111+0.5*F111)&lt;=tax_tables!$B$15,MIN(0.5*F111,0.5*((DH111+DI111+0.5*F111)-tax_tables!$B$14)),MIN(0.85*F111,0.85*((DH111+DI111+0.5*F111)-tax_tables!$B$15)+MIN(0.5*F111,tax_tables!$B$15-tax_tables!$B$14))))</f>
        <v/>
      </c>
      <c r="DK111" s="15">
        <f>DH111+DI111+DJ111</f>
        <v/>
      </c>
      <c r="DL111" s="12">
        <f>(B111&gt;=65)+(C111&gt;=65)</f>
        <v/>
      </c>
      <c r="DM111" s="15">
        <f>(tax_tables!$B$5+tax_tables!$B$6*DL111)*P111</f>
        <v/>
      </c>
      <c r="DN111" s="15">
        <f>IF(AND(A111&gt;=tax_tables!$B$8,A111&lt;=tax_tables!$B$9),DL111*MAX(0,tax_tables!$B$7-tax_tables!$B$11*MAX(0,DK111-tax_tables!$B$10)),0)</f>
        <v/>
      </c>
      <c r="DO111" s="15">
        <f>IFERROR(MAX(tax_tables!$B$16,INDEX(tax_tables!$W$5:$W$8,MATCH(A111,tax_tables!$V$5:$V$8,0))-tax_tables!$B$18*MAX(0,DK111-tax_tables!$B$17*1.01^(A111-tax_tables!$B$4))),tax_tables!$B$16)</f>
        <v/>
      </c>
      <c r="DP111" s="15">
        <f>MAX(0,BM111-BB111-tax_tables!$B$23*DK111)</f>
        <v/>
      </c>
      <c r="DQ111" s="15">
        <f>AN111+MIN(DO111,DY110+DZ110+EA110+AL111*properties!$H$2*O111)+DP111+$B$61*O111</f>
        <v/>
      </c>
      <c r="DR111" s="15">
        <f>MAX(DM111,DQ111)</f>
        <v/>
      </c>
      <c r="DS111" s="15">
        <f>MAX(0,DH111+DJ111-DR111-DN111)</f>
        <v/>
      </c>
      <c r="DT111" s="15">
        <f>MAX(0,DI111-MAX(0,DR111+DN111-DH111-DJ111))</f>
        <v/>
      </c>
      <c r="DU111" s="15">
        <f>SUMPRODUCT((DS111&gt;tax_tables!$E$5:$E$16*P111)*(DS111-tax_tables!$E$5:$E$16*P111)*tax_tables!$G$5:$G$16)+SUMPRODUCT(((DS111+DT111)&gt;tax_tables!$I$5:$I$16*P111)*((DS111+DT111)-tax_tables!$I$5:$I$16*P111)*tax_tables!$K$5:$K$16)-SUMPRODUCT((DS111&gt;tax_tables!$I$5:$I$16*P111)*(DS111-tax_tables!$I$5:$I$16*P111)*tax_tables!$K$5:$K$16)+tax_tables!$B$19*BV111+tax_tables!$B$12*MIN(CE111+DB111+BS111+BU111,MAX(0,DK111-tax_tables!$B$13))</f>
        <v/>
      </c>
      <c r="DV111" s="12">
        <f>IF($B$39="",0,IF(A111&gt;=$B$39,1,0))</f>
        <v/>
      </c>
      <c r="DW111" s="15">
        <f>IF(B111+0.5&gt;=tax_tables!$B$30,MIN(CS111+CH111+CY111+CA111,tax_tables!$B$29),0)+IF(C111+0.5&gt;=tax_tables!$B$30,MIN(CT111+CI111+CZ111+CB111,tax_tables!$B$29),0)</f>
        <v/>
      </c>
      <c r="DX111" s="15">
        <f>MAX(0,DK111-tax_tables!$B$28*DJ111-DW111-tax_tables!$B$26*IF(tax_tables!$B$27=1,P111,1))</f>
        <v/>
      </c>
      <c r="DY111" s="15">
        <f>(1-DV111)*SUMPRODUCT((DX111&gt;tax_tables!$M$5:$M$16*IF(tax_tables!$B$27=1,P111,1))*(DX111-tax_tables!$M$5:$M$16*IF(tax_tables!$B$27=1,P111,1))*tax_tables!$O$5:$O$16)</f>
        <v/>
      </c>
      <c r="DZ111" s="15">
        <f>(1-DV111)*tax_tables!$B$31*DX111</f>
        <v/>
      </c>
      <c r="EA111" s="15">
        <f>DV111*$B$40*MAX(0,DK111-DJ111)</f>
        <v/>
      </c>
      <c r="EB111" s="15">
        <f>DU111+DY111+DZ111+EA111</f>
        <v/>
      </c>
      <c r="EC111" s="15">
        <f>DC111+DE111+DF111+DG111+BP111</f>
        <v/>
      </c>
      <c r="ED111" s="15">
        <f>EC111+BW111-AP111+BX111</f>
        <v/>
      </c>
    </row>
    <row r="112">
      <c r="A112" s="12">
        <f>A111+1</f>
        <v/>
      </c>
      <c r="B112" s="12">
        <f>A112-household!$B$6</f>
        <v/>
      </c>
      <c r="C112" s="12">
        <f>A112-household!$B$9</f>
        <v/>
      </c>
      <c r="D112" s="15">
        <f>AS112+AT112+AU112+AV112+AZ112+BM112+AK112</f>
        <v/>
      </c>
      <c r="E112" s="15">
        <f>CN112+AG112+AF112</f>
        <v/>
      </c>
      <c r="F112" s="15">
        <f>BY112+BZ112</f>
        <v/>
      </c>
      <c r="G112" s="15">
        <f>CQ112+CR112+CU112+CH112+CI112+CE112-CW112+CV112+BO112</f>
        <v/>
      </c>
      <c r="H112" s="22">
        <f>IF(CC112+CF112+CG112+CJ112+BN112&lt;=0,"",G112/(CC112+CF112+CG112+CJ112+BN112))</f>
        <v/>
      </c>
      <c r="I112" s="23">
        <f>EC112/O112</f>
        <v/>
      </c>
      <c r="J112" s="23">
        <f>ED112/O112</f>
        <v/>
      </c>
      <c r="K112" s="15">
        <f>MAX(0,CP112-CQ112-CR112-CU112-CV112)</f>
        <v/>
      </c>
      <c r="L112" s="11" t="n"/>
      <c r="M112" s="22">
        <f>IF(L112="",$B$19,L112)</f>
        <v/>
      </c>
      <c r="N112" s="14" t="n"/>
      <c r="O112" s="13">
        <f>(1+$B$18)^(A112-household!$B$4+1)</f>
        <v/>
      </c>
      <c r="P112" s="13">
        <f>(1+$B$18)^(A112-tax_tables!$B$4)</f>
        <v/>
      </c>
      <c r="Q112" s="13">
        <f>(1+$B$21)^(A112-household!$B$4+1)</f>
        <v/>
      </c>
      <c r="R112" s="13">
        <f>(1+$B$22)^(A112-household!$B$4+1)</f>
        <v/>
      </c>
      <c r="S112" s="13">
        <f>(1+$B$23)^(A112-household!$B$4+1)</f>
        <v/>
      </c>
      <c r="T112" s="12">
        <f>IF(A112&lt;$B$5,1,0)</f>
        <v/>
      </c>
      <c r="U112" s="12">
        <f>IF(A112&lt;$B$6,1,0)</f>
        <v/>
      </c>
      <c r="V112" s="12">
        <f>IF(T112+U112&gt;0,1,0)</f>
        <v/>
      </c>
      <c r="W112" s="15">
        <f>T112*$B$7*O112+SUMPRODUCT(($B$83:$B$88=A112)*($D$83:$D$88="Wages: person 1")*$C$83:$C$88)*O112</f>
        <v/>
      </c>
      <c r="X112" s="15">
        <f>U112*$B$8*O112+SUMPRODUCT(($B$83:$B$88=A112)*($D$83:$D$88="Wages: person 2")*$C$83:$C$88)*O112</f>
        <v/>
      </c>
      <c r="Y112" s="15">
        <f>T112*$B$9*O112</f>
        <v/>
      </c>
      <c r="Z112" s="15">
        <f>U112*$B$10*O112</f>
        <v/>
      </c>
      <c r="AA112" s="15">
        <f>T112*$B$11*O112</f>
        <v/>
      </c>
      <c r="AB112" s="15">
        <f>U112*$B$12*O112</f>
        <v/>
      </c>
      <c r="AC112" s="15">
        <f>V112*$B$13*O112</f>
        <v/>
      </c>
      <c r="AD112" s="15">
        <f>W112+X112</f>
        <v/>
      </c>
      <c r="AE112" s="15">
        <f>AD112-Y112-Z112-AC112</f>
        <v/>
      </c>
      <c r="AF112" s="15">
        <f>0.062*MIN(W112,tax_tables!$B$21*P112)+0.062*MIN(X112,tax_tables!$B$21*P112)+0.0145*AD112+0.009*MAX(0,AD112-tax_tables!$B$22)</f>
        <v/>
      </c>
      <c r="AG112" s="15">
        <f>$B$14*AE112</f>
        <v/>
      </c>
      <c r="AH112" s="15">
        <f>AD112-Y112-Z112-AC112-AF112-AG112</f>
        <v/>
      </c>
      <c r="AI112" s="15">
        <f>SUMPRODUCT(($B$83:$B$88=A112)*($D$83:$D$88="Other taxable income")*$C$83:$C$88)*O112</f>
        <v/>
      </c>
      <c r="AJ112" s="15">
        <f>SUMPRODUCT(($B$83:$B$88=A112)*($D$83:$D$88="Tax-free money in")*$C$83:$C$88)*O112</f>
        <v/>
      </c>
      <c r="AK112" s="15">
        <f>SUMPRODUCT(($B$83:$B$88=A112)*($D$83:$D$88="Expense")*$C$83:$C$88)*O112</f>
        <v/>
      </c>
      <c r="AL112" s="12">
        <f>IF(OR($B$75="",A112&lt;$B$75),1,0)</f>
        <v/>
      </c>
      <c r="AM112" s="15">
        <f>AP111</f>
        <v/>
      </c>
      <c r="AN112" s="15">
        <f>AL112*AM112*properties!$J$2</f>
        <v/>
      </c>
      <c r="AO112" s="15">
        <f>AL112*MIN(properties!$K$2,AM112+AN112)</f>
        <v/>
      </c>
      <c r="AP112" s="15">
        <f>AL112*(AM112+AN112-AO112)</f>
        <v/>
      </c>
      <c r="AQ112" s="15">
        <f>AL112*properties!$G$2*O112</f>
        <v/>
      </c>
      <c r="AR112" s="15">
        <f>(1-AL112)*$E$75*O112</f>
        <v/>
      </c>
      <c r="AS112" s="15">
        <f>AO112+AQ112+AR112</f>
        <v/>
      </c>
      <c r="AT112" s="15">
        <f>SUMIF(budget!$A$2:$A$300,"household",budget!$F$2:$F$300)*O112*IF(N112="",1,N112)</f>
        <v/>
      </c>
      <c r="AU112" s="15">
        <f>SUMPRODUCT((other_budget!$C$2:$C$30&lt;=A112)*(other_budget!$D$2:$D$30&gt;=A112)*other_budget!$B$2:$B$30)*O112</f>
        <v/>
      </c>
      <c r="AV112" s="15">
        <f>SUMPRODUCT((kids_budget!$D$2:$D$40&lt;=A112)*(kids_budget!$E$2:$E$40&gt;=A112)*(kids_budget!$G$2:$G$40&lt;&gt;"college_funds")*kids_budget!$C$2:$C$40*((kids_budget!$F$2:$F$40="college")*R112+(kids_budget!$F$2:$F$40&lt;&gt;"college")*O112))</f>
        <v/>
      </c>
      <c r="AW112" s="15">
        <f>SUMPRODUCT((kids_budget!$D$2:$D$40&lt;=A112)*(kids_budget!$E$2:$E$40&gt;=A112)*(kids_budget!$G$2:$G$40="college_funds")*kids_budget!$C$2:$C$40*((kids_budget!$F$2:$F$40="college")*R112+(kids_budget!$F$2:$F$40&lt;&gt;"college")*O112))</f>
        <v/>
      </c>
      <c r="AX112" s="15">
        <f>BA111</f>
        <v/>
      </c>
      <c r="AY112" s="15">
        <f>MIN(AW112,AX112*(1+M112))</f>
        <v/>
      </c>
      <c r="AZ112" s="15">
        <f>AW112-AY112</f>
        <v/>
      </c>
      <c r="BA112" s="15">
        <f>AX112*(1+M112)-AY112</f>
        <v/>
      </c>
      <c r="BB112" s="15">
        <f>V112*healthcare!$B$5*Q112</f>
        <v/>
      </c>
      <c r="BC112" s="12">
        <f>(1-V112)*((B112&lt;65)+(C112&lt;65))</f>
        <v/>
      </c>
      <c r="BD112" s="12">
        <f>COUNTIF(household!$C$16:$C$23,"&gt;="&amp;A112)</f>
        <v/>
      </c>
      <c r="BE112" s="15">
        <f>(BC112*healthcare!$B$2+IF(BC112&gt;0,BD112,0)*healthcare!$B$3)*12*Q112</f>
        <v/>
      </c>
      <c r="BF112" s="15">
        <f>IF(BC112&gt;0,(BC112+BD112)*healthcare!$B$4*Q112,0)</f>
        <v/>
      </c>
      <c r="BG112" s="12">
        <f>(B112&gt;=65)+(C112&gt;=65)</f>
        <v/>
      </c>
      <c r="BH112" s="15">
        <f>BG112*(healthcare!$B$6+healthcare!$B$7+healthcare!$B$8)*12*Q112</f>
        <v/>
      </c>
      <c r="BI112" s="15">
        <f>BG112*healthcare!$B$9*Q112</f>
        <v/>
      </c>
      <c r="BJ112" s="15">
        <f>BG112*12*O112*SUMPRODUCT((DK110&gt;tax_tables!$Q$5:$Q$9*P112)*tax_tables!$T$5:$T$9)</f>
        <v/>
      </c>
      <c r="BK112" s="12">
        <f>AND(B112&gt;=$B$51,B112&lt;$B$51+$B$52)*1+AND(C112&gt;=$B$53,C112&lt;$B$53+$B$54)*1</f>
        <v/>
      </c>
      <c r="BL112" s="15">
        <f>BK112*$B$55*S112</f>
        <v/>
      </c>
      <c r="BM112" s="15">
        <f>BB112+BE112+BF112+BH112+BI112+BJ112+BL112</f>
        <v/>
      </c>
      <c r="BN112" s="15">
        <f>BP111</f>
        <v/>
      </c>
      <c r="BO112" s="15">
        <f>IF(V112=1,0,MIN(BN112*(1+M112),BF112+BG112*(healthcare!$B$6+healthcare!$B$7)*12*Q112+BI112+BJ112+BL112))</f>
        <v/>
      </c>
      <c r="BP112" s="15">
        <f>BN112*(1+M112)-BO112+AC112-CV112</f>
        <v/>
      </c>
      <c r="BQ112" s="15">
        <f>SUMPRODUCT((1-($B$76:$B$79&gt;0)*(A112&gt;=$B$76:$B$79))*(1-(($C$76:$C$79&gt;0)*(A112&gt;=$C$76:$C$79)))*(properties!$L$3:$L$6-properties!$M$3:$M$6))*O112+SUMPRODUCT((1-($B$76:$B$79&gt;0)*(A112&gt;=$B$76:$B$79))*(($C$76:$C$79&gt;0)*(A112&gt;=$C$76:$C$79))*($D$76:$D$79-$E$76:$E$79))*O112</f>
        <v/>
      </c>
      <c r="BR112" s="15">
        <f>SUMPRODUCT((1-($B$76:$B$79&gt;0)*(A112&gt;=$B$76:$B$79))*properties!$N$3:$N$6*(A112&lt;=properties!$O$3:$O$6))</f>
        <v/>
      </c>
      <c r="BS112" s="15">
        <f>MAX(0,BQ112-BR112)</f>
        <v/>
      </c>
      <c r="BT112" s="15">
        <f>SUMPRODUCT(($B$75:$B$79=A112)*$G$75:$G$79)</f>
        <v/>
      </c>
      <c r="BU112" s="15">
        <f>SUMPRODUCT(($B$75:$B$79=A112)*$H$75:$H$79)</f>
        <v/>
      </c>
      <c r="BV112" s="15">
        <f>SUMPRODUCT(($B$75:$B$79=A112)*$I$75:$I$79)</f>
        <v/>
      </c>
      <c r="BW112" s="15">
        <f>AL112*properties!$C$2*(1+properties!$D$2)^(A112-household!$B$4+1)</f>
        <v/>
      </c>
      <c r="BX112" s="15">
        <f>SUMPRODUCT((1-($B$76:$B$79&gt;0)*(A112&gt;=$B$76:$B$79))*properties!$C$3:$C$6*(1+properties!$D$3:$D$6)^(A112-household!$B$4+1))</f>
        <v/>
      </c>
      <c r="BY112" s="15">
        <f>IF(A112&gt;=$B$31,IF(A112&gt;=$B$32,MAX(household!$B$11*12*(1-$B$28)*O112*IF(A112&gt;=$B$30,1-$B$29,1)*$B$33,0.5*household!$B$12*12*(1-$B$28)*O112*IF(A112&gt;=$B$30,1-$B$29,1)*$B$35),household!$B$11*12*(1-$B$28)*O112*IF(A112&gt;=$B$30,1-$B$29,1)*$B$33),0)</f>
        <v/>
      </c>
      <c r="BZ112" s="15">
        <f>IF(A112&gt;=$B$32,IF(A112&gt;=$B$31,MAX(household!$B$12*12*(1-$B$28)*O112*IF(A112&gt;=$B$30,1-$B$29,1)*$B$34,0.5*household!$B$11*12*(1-$B$28)*O112*IF(A112&gt;=$B$30,1-$B$29,1)*$B$36),household!$B$12*12*(1-$B$28)*O112*IF(A112&gt;=$B$30,1-$B$29,1)*$B$34),0)</f>
        <v/>
      </c>
      <c r="CA112" s="15">
        <f>IF(AND($B$43&lt;&gt;0,A112&gt;=household!$B$6+$B$44),$B$43*(1+$B$18)^(MAX(household!$B$6+$B$44,household!$B$4-1)-household!$B$4+1)*(1+$B$47*$B$18)^(A112-MAX(household!$B$6+$B$44,household!$B$4-1)),0)</f>
        <v/>
      </c>
      <c r="CB112" s="15">
        <f>IF(AND($B$45&lt;&gt;0,A112&gt;=household!$B$9+$B$46),$B$45*(1+$B$18)^(MAX(household!$B$9+$B$46,household!$B$4-1)-household!$B$4+1)*(1+$B$47*$B$18)^(A112-MAX(household!$B$9+$B$46,household!$B$4-1)),0)</f>
        <v/>
      </c>
      <c r="CC112" s="15">
        <f>DC111</f>
        <v/>
      </c>
      <c r="CD112" s="15">
        <f>DD111</f>
        <v/>
      </c>
      <c r="CE112" s="15">
        <f>$B$20*CC112</f>
        <v/>
      </c>
      <c r="CF112" s="15">
        <f>DE111</f>
        <v/>
      </c>
      <c r="CG112" s="15">
        <f>DF111</f>
        <v/>
      </c>
      <c r="CH112" s="15">
        <f>IF(B112&gt;=$B$71,MAX(0,CF112)/INDEX(tax_tables!$Z$5:$Z$53,MATCH(B112,tax_tables!$Y$5:$Y$53,0)),0)</f>
        <v/>
      </c>
      <c r="CI112" s="15">
        <f>IF(C112&gt;=$B$72,MAX(0,CG112)/INDEX(tax_tables!$Z$5:$Z$53,MATCH(C112,tax_tables!$Y$5:$Y$53,0)),0)</f>
        <v/>
      </c>
      <c r="CJ112" s="15">
        <f>DG111</f>
        <v/>
      </c>
      <c r="CK112" s="15">
        <f>IF(OR($B$59="",$B$60=""),0,IF(AND(A112&gt;=$B$59,A112&lt;=$B$60),$B$58*O112,0))</f>
        <v/>
      </c>
      <c r="CL112" s="15">
        <f>MAX(0,CF112*(1+M112)-CH112)</f>
        <v/>
      </c>
      <c r="CM112" s="15">
        <f>MAX(0,CG112*(1+M112)-CI112)</f>
        <v/>
      </c>
      <c r="CN112" s="15">
        <f>EB111-AG111</f>
        <v/>
      </c>
      <c r="CO112" s="15">
        <f>AH112+F112+CA112+CB112+BQ112+CE112+CH112+CI112+BT112+AI112+AJ112+BO112</f>
        <v/>
      </c>
      <c r="CP112" s="15">
        <f>D112+CN112-CO112</f>
        <v/>
      </c>
      <c r="CQ112" s="15">
        <f>MAX(0,MIN(CP112,CC112*(1+M112-$B$20)))</f>
        <v/>
      </c>
      <c r="CR112" s="15">
        <f>MAX(0,MIN(CP112-CQ112,CL112+CM112))</f>
        <v/>
      </c>
      <c r="CS112" s="15">
        <f>IF(CL112+CM112&gt;1,CR112*CL112/(CL112+CM112),0)</f>
        <v/>
      </c>
      <c r="CT112" s="15">
        <f>CR112-CS112</f>
        <v/>
      </c>
      <c r="CU112" s="15">
        <f>MAX(0,MIN(CP112-CQ112-CR112,CJ112*(1+M112)))</f>
        <v/>
      </c>
      <c r="CV112" s="15">
        <f>MAX(0,MIN(CP112-CQ112-CR112-CU112,BN112*(1+M112)-BO112+AC112))</f>
        <v/>
      </c>
      <c r="CW112" s="15">
        <f>MAX(0,-CP112)</f>
        <v/>
      </c>
      <c r="CX112" s="15">
        <f>MIN(CK112,CL112-CS112+CM112-CT112)</f>
        <v/>
      </c>
      <c r="CY112" s="15">
        <f>IF(CL112-CS112+CM112-CT112&gt;1,CX112*(CL112-CS112)/(CL112-CS112+CM112-CT112),0)</f>
        <v/>
      </c>
      <c r="CZ112" s="15">
        <f>CX112-CY112</f>
        <v/>
      </c>
      <c r="DA112" s="22">
        <f>IF(CC112&gt;0,MAX(0,1-CD112/CC112),0)</f>
        <v/>
      </c>
      <c r="DB112" s="15">
        <f>CQ112*DA112</f>
        <v/>
      </c>
      <c r="DC112" s="15">
        <f>CC112*(1+M112-$B$20)-CQ112+CW112</f>
        <v/>
      </c>
      <c r="DD112" s="15">
        <f>CD112-(CQ112-DB112)+CW112</f>
        <v/>
      </c>
      <c r="DE112" s="15">
        <f>CF112*(1+M112)-CH112-CS112-CY112+Y112+AA112</f>
        <v/>
      </c>
      <c r="DF112" s="15">
        <f>CG112*(1+M112)-CI112-CT112-CZ112+Z112+AB112</f>
        <v/>
      </c>
      <c r="DG112" s="15">
        <f>CJ112*(1+M112)-CU112+CX112</f>
        <v/>
      </c>
      <c r="DH112" s="15">
        <f>AE112+CR112+CH112+CI112+CX112+CV112+BS112+AI112+CA112+CB112</f>
        <v/>
      </c>
      <c r="DI112" s="15">
        <f>CE112+DB112+BU112</f>
        <v/>
      </c>
      <c r="DJ112" s="15">
        <f>IF((DH112+DI112+0.5*F112)&lt;=tax_tables!$B$14,0,IF((DH112+DI112+0.5*F112)&lt;=tax_tables!$B$15,MIN(0.5*F112,0.5*((DH112+DI112+0.5*F112)-tax_tables!$B$14)),MIN(0.85*F112,0.85*((DH112+DI112+0.5*F112)-tax_tables!$B$15)+MIN(0.5*F112,tax_tables!$B$15-tax_tables!$B$14))))</f>
        <v/>
      </c>
      <c r="DK112" s="15">
        <f>DH112+DI112+DJ112</f>
        <v/>
      </c>
      <c r="DL112" s="12">
        <f>(B112&gt;=65)+(C112&gt;=65)</f>
        <v/>
      </c>
      <c r="DM112" s="15">
        <f>(tax_tables!$B$5+tax_tables!$B$6*DL112)*P112</f>
        <v/>
      </c>
      <c r="DN112" s="15">
        <f>IF(AND(A112&gt;=tax_tables!$B$8,A112&lt;=tax_tables!$B$9),DL112*MAX(0,tax_tables!$B$7-tax_tables!$B$11*MAX(0,DK112-tax_tables!$B$10)),0)</f>
        <v/>
      </c>
      <c r="DO112" s="15">
        <f>IFERROR(MAX(tax_tables!$B$16,INDEX(tax_tables!$W$5:$W$8,MATCH(A112,tax_tables!$V$5:$V$8,0))-tax_tables!$B$18*MAX(0,DK112-tax_tables!$B$17*1.01^(A112-tax_tables!$B$4))),tax_tables!$B$16)</f>
        <v/>
      </c>
      <c r="DP112" s="15">
        <f>MAX(0,BM112-BB112-tax_tables!$B$23*DK112)</f>
        <v/>
      </c>
      <c r="DQ112" s="15">
        <f>AN112+MIN(DO112,DY111+DZ111+EA111+AL112*properties!$H$2*O112)+DP112+$B$61*O112</f>
        <v/>
      </c>
      <c r="DR112" s="15">
        <f>MAX(DM112,DQ112)</f>
        <v/>
      </c>
      <c r="DS112" s="15">
        <f>MAX(0,DH112+DJ112-DR112-DN112)</f>
        <v/>
      </c>
      <c r="DT112" s="15">
        <f>MAX(0,DI112-MAX(0,DR112+DN112-DH112-DJ112))</f>
        <v/>
      </c>
      <c r="DU112" s="15">
        <f>SUMPRODUCT((DS112&gt;tax_tables!$E$5:$E$16*P112)*(DS112-tax_tables!$E$5:$E$16*P112)*tax_tables!$G$5:$G$16)+SUMPRODUCT(((DS112+DT112)&gt;tax_tables!$I$5:$I$16*P112)*((DS112+DT112)-tax_tables!$I$5:$I$16*P112)*tax_tables!$K$5:$K$16)-SUMPRODUCT((DS112&gt;tax_tables!$I$5:$I$16*P112)*(DS112-tax_tables!$I$5:$I$16*P112)*tax_tables!$K$5:$K$16)+tax_tables!$B$19*BV112+tax_tables!$B$12*MIN(CE112+DB112+BS112+BU112,MAX(0,DK112-tax_tables!$B$13))</f>
        <v/>
      </c>
      <c r="DV112" s="12">
        <f>IF($B$39="",0,IF(A112&gt;=$B$39,1,0))</f>
        <v/>
      </c>
      <c r="DW112" s="15">
        <f>IF(B112+0.5&gt;=tax_tables!$B$30,MIN(CS112+CH112+CY112+CA112,tax_tables!$B$29),0)+IF(C112+0.5&gt;=tax_tables!$B$30,MIN(CT112+CI112+CZ112+CB112,tax_tables!$B$29),0)</f>
        <v/>
      </c>
      <c r="DX112" s="15">
        <f>MAX(0,DK112-tax_tables!$B$28*DJ112-DW112-tax_tables!$B$26*IF(tax_tables!$B$27=1,P112,1))</f>
        <v/>
      </c>
      <c r="DY112" s="15">
        <f>(1-DV112)*SUMPRODUCT((DX112&gt;tax_tables!$M$5:$M$16*IF(tax_tables!$B$27=1,P112,1))*(DX112-tax_tables!$M$5:$M$16*IF(tax_tables!$B$27=1,P112,1))*tax_tables!$O$5:$O$16)</f>
        <v/>
      </c>
      <c r="DZ112" s="15">
        <f>(1-DV112)*tax_tables!$B$31*DX112</f>
        <v/>
      </c>
      <c r="EA112" s="15">
        <f>DV112*$B$40*MAX(0,DK112-DJ112)</f>
        <v/>
      </c>
      <c r="EB112" s="15">
        <f>DU112+DY112+DZ112+EA112</f>
        <v/>
      </c>
      <c r="EC112" s="15">
        <f>DC112+DE112+DF112+DG112+BP112</f>
        <v/>
      </c>
      <c r="ED112" s="15">
        <f>EC112+BW112-AP112+BX112</f>
        <v/>
      </c>
    </row>
    <row r="113">
      <c r="A113" s="12">
        <f>A112+1</f>
        <v/>
      </c>
      <c r="B113" s="12">
        <f>A113-household!$B$6</f>
        <v/>
      </c>
      <c r="C113" s="12">
        <f>A113-household!$B$9</f>
        <v/>
      </c>
      <c r="D113" s="15">
        <f>AS113+AT113+AU113+AV113+AZ113+BM113+AK113</f>
        <v/>
      </c>
      <c r="E113" s="15">
        <f>CN113+AG113+AF113</f>
        <v/>
      </c>
      <c r="F113" s="15">
        <f>BY113+BZ113</f>
        <v/>
      </c>
      <c r="G113" s="15">
        <f>CQ113+CR113+CU113+CH113+CI113+CE113-CW113+CV113+BO113</f>
        <v/>
      </c>
      <c r="H113" s="22">
        <f>IF(CC113+CF113+CG113+CJ113+BN113&lt;=0,"",G113/(CC113+CF113+CG113+CJ113+BN113))</f>
        <v/>
      </c>
      <c r="I113" s="23">
        <f>EC113/O113</f>
        <v/>
      </c>
      <c r="J113" s="23">
        <f>ED113/O113</f>
        <v/>
      </c>
      <c r="K113" s="15">
        <f>MAX(0,CP113-CQ113-CR113-CU113-CV113)</f>
        <v/>
      </c>
      <c r="L113" s="11" t="n"/>
      <c r="M113" s="22">
        <f>IF(L113="",$B$19,L113)</f>
        <v/>
      </c>
      <c r="N113" s="14" t="n"/>
      <c r="O113" s="13">
        <f>(1+$B$18)^(A113-household!$B$4+1)</f>
        <v/>
      </c>
      <c r="P113" s="13">
        <f>(1+$B$18)^(A113-tax_tables!$B$4)</f>
        <v/>
      </c>
      <c r="Q113" s="13">
        <f>(1+$B$21)^(A113-household!$B$4+1)</f>
        <v/>
      </c>
      <c r="R113" s="13">
        <f>(1+$B$22)^(A113-household!$B$4+1)</f>
        <v/>
      </c>
      <c r="S113" s="13">
        <f>(1+$B$23)^(A113-household!$B$4+1)</f>
        <v/>
      </c>
      <c r="T113" s="12">
        <f>IF(A113&lt;$B$5,1,0)</f>
        <v/>
      </c>
      <c r="U113" s="12">
        <f>IF(A113&lt;$B$6,1,0)</f>
        <v/>
      </c>
      <c r="V113" s="12">
        <f>IF(T113+U113&gt;0,1,0)</f>
        <v/>
      </c>
      <c r="W113" s="15">
        <f>T113*$B$7*O113+SUMPRODUCT(($B$83:$B$88=A113)*($D$83:$D$88="Wages: person 1")*$C$83:$C$88)*O113</f>
        <v/>
      </c>
      <c r="X113" s="15">
        <f>U113*$B$8*O113+SUMPRODUCT(($B$83:$B$88=A113)*($D$83:$D$88="Wages: person 2")*$C$83:$C$88)*O113</f>
        <v/>
      </c>
      <c r="Y113" s="15">
        <f>T113*$B$9*O113</f>
        <v/>
      </c>
      <c r="Z113" s="15">
        <f>U113*$B$10*O113</f>
        <v/>
      </c>
      <c r="AA113" s="15">
        <f>T113*$B$11*O113</f>
        <v/>
      </c>
      <c r="AB113" s="15">
        <f>U113*$B$12*O113</f>
        <v/>
      </c>
      <c r="AC113" s="15">
        <f>V113*$B$13*O113</f>
        <v/>
      </c>
      <c r="AD113" s="15">
        <f>W113+X113</f>
        <v/>
      </c>
      <c r="AE113" s="15">
        <f>AD113-Y113-Z113-AC113</f>
        <v/>
      </c>
      <c r="AF113" s="15">
        <f>0.062*MIN(W113,tax_tables!$B$21*P113)+0.062*MIN(X113,tax_tables!$B$21*P113)+0.0145*AD113+0.009*MAX(0,AD113-tax_tables!$B$22)</f>
        <v/>
      </c>
      <c r="AG113" s="15">
        <f>$B$14*AE113</f>
        <v/>
      </c>
      <c r="AH113" s="15">
        <f>AD113-Y113-Z113-AC113-AF113-AG113</f>
        <v/>
      </c>
      <c r="AI113" s="15">
        <f>SUMPRODUCT(($B$83:$B$88=A113)*($D$83:$D$88="Other taxable income")*$C$83:$C$88)*O113</f>
        <v/>
      </c>
      <c r="AJ113" s="15">
        <f>SUMPRODUCT(($B$83:$B$88=A113)*($D$83:$D$88="Tax-free money in")*$C$83:$C$88)*O113</f>
        <v/>
      </c>
      <c r="AK113" s="15">
        <f>SUMPRODUCT(($B$83:$B$88=A113)*($D$83:$D$88="Expense")*$C$83:$C$88)*O113</f>
        <v/>
      </c>
      <c r="AL113" s="12">
        <f>IF(OR($B$75="",A113&lt;$B$75),1,0)</f>
        <v/>
      </c>
      <c r="AM113" s="15">
        <f>AP112</f>
        <v/>
      </c>
      <c r="AN113" s="15">
        <f>AL113*AM113*properties!$J$2</f>
        <v/>
      </c>
      <c r="AO113" s="15">
        <f>AL113*MIN(properties!$K$2,AM113+AN113)</f>
        <v/>
      </c>
      <c r="AP113" s="15">
        <f>AL113*(AM113+AN113-AO113)</f>
        <v/>
      </c>
      <c r="AQ113" s="15">
        <f>AL113*properties!$G$2*O113</f>
        <v/>
      </c>
      <c r="AR113" s="15">
        <f>(1-AL113)*$E$75*O113</f>
        <v/>
      </c>
      <c r="AS113" s="15">
        <f>AO113+AQ113+AR113</f>
        <v/>
      </c>
      <c r="AT113" s="15">
        <f>SUMIF(budget!$A$2:$A$300,"household",budget!$F$2:$F$300)*O113*IF(N113="",1,N113)</f>
        <v/>
      </c>
      <c r="AU113" s="15">
        <f>SUMPRODUCT((other_budget!$C$2:$C$30&lt;=A113)*(other_budget!$D$2:$D$30&gt;=A113)*other_budget!$B$2:$B$30)*O113</f>
        <v/>
      </c>
      <c r="AV113" s="15">
        <f>SUMPRODUCT((kids_budget!$D$2:$D$40&lt;=A113)*(kids_budget!$E$2:$E$40&gt;=A113)*(kids_budget!$G$2:$G$40&lt;&gt;"college_funds")*kids_budget!$C$2:$C$40*((kids_budget!$F$2:$F$40="college")*R113+(kids_budget!$F$2:$F$40&lt;&gt;"college")*O113))</f>
        <v/>
      </c>
      <c r="AW113" s="15">
        <f>SUMPRODUCT((kids_budget!$D$2:$D$40&lt;=A113)*(kids_budget!$E$2:$E$40&gt;=A113)*(kids_budget!$G$2:$G$40="college_funds")*kids_budget!$C$2:$C$40*((kids_budget!$F$2:$F$40="college")*R113+(kids_budget!$F$2:$F$40&lt;&gt;"college")*O113))</f>
        <v/>
      </c>
      <c r="AX113" s="15">
        <f>BA112</f>
        <v/>
      </c>
      <c r="AY113" s="15">
        <f>MIN(AW113,AX113*(1+M113))</f>
        <v/>
      </c>
      <c r="AZ113" s="15">
        <f>AW113-AY113</f>
        <v/>
      </c>
      <c r="BA113" s="15">
        <f>AX113*(1+M113)-AY113</f>
        <v/>
      </c>
      <c r="BB113" s="15">
        <f>V113*healthcare!$B$5*Q113</f>
        <v/>
      </c>
      <c r="BC113" s="12">
        <f>(1-V113)*((B113&lt;65)+(C113&lt;65))</f>
        <v/>
      </c>
      <c r="BD113" s="12">
        <f>COUNTIF(household!$C$16:$C$23,"&gt;="&amp;A113)</f>
        <v/>
      </c>
      <c r="BE113" s="15">
        <f>(BC113*healthcare!$B$2+IF(BC113&gt;0,BD113,0)*healthcare!$B$3)*12*Q113</f>
        <v/>
      </c>
      <c r="BF113" s="15">
        <f>IF(BC113&gt;0,(BC113+BD113)*healthcare!$B$4*Q113,0)</f>
        <v/>
      </c>
      <c r="BG113" s="12">
        <f>(B113&gt;=65)+(C113&gt;=65)</f>
        <v/>
      </c>
      <c r="BH113" s="15">
        <f>BG113*(healthcare!$B$6+healthcare!$B$7+healthcare!$B$8)*12*Q113</f>
        <v/>
      </c>
      <c r="BI113" s="15">
        <f>BG113*healthcare!$B$9*Q113</f>
        <v/>
      </c>
      <c r="BJ113" s="15">
        <f>BG113*12*O113*SUMPRODUCT((DK111&gt;tax_tables!$Q$5:$Q$9*P113)*tax_tables!$T$5:$T$9)</f>
        <v/>
      </c>
      <c r="BK113" s="12">
        <f>AND(B113&gt;=$B$51,B113&lt;$B$51+$B$52)*1+AND(C113&gt;=$B$53,C113&lt;$B$53+$B$54)*1</f>
        <v/>
      </c>
      <c r="BL113" s="15">
        <f>BK113*$B$55*S113</f>
        <v/>
      </c>
      <c r="BM113" s="15">
        <f>BB113+BE113+BF113+BH113+BI113+BJ113+BL113</f>
        <v/>
      </c>
      <c r="BN113" s="15">
        <f>BP112</f>
        <v/>
      </c>
      <c r="BO113" s="15">
        <f>IF(V113=1,0,MIN(BN113*(1+M113),BF113+BG113*(healthcare!$B$6+healthcare!$B$7)*12*Q113+BI113+BJ113+BL113))</f>
        <v/>
      </c>
      <c r="BP113" s="15">
        <f>BN113*(1+M113)-BO113+AC113-CV113</f>
        <v/>
      </c>
      <c r="BQ113" s="15">
        <f>SUMPRODUCT((1-($B$76:$B$79&gt;0)*(A113&gt;=$B$76:$B$79))*(1-(($C$76:$C$79&gt;0)*(A113&gt;=$C$76:$C$79)))*(properties!$L$3:$L$6-properties!$M$3:$M$6))*O113+SUMPRODUCT((1-($B$76:$B$79&gt;0)*(A113&gt;=$B$76:$B$79))*(($C$76:$C$79&gt;0)*(A113&gt;=$C$76:$C$79))*($D$76:$D$79-$E$76:$E$79))*O113</f>
        <v/>
      </c>
      <c r="BR113" s="15">
        <f>SUMPRODUCT((1-($B$76:$B$79&gt;0)*(A113&gt;=$B$76:$B$79))*properties!$N$3:$N$6*(A113&lt;=properties!$O$3:$O$6))</f>
        <v/>
      </c>
      <c r="BS113" s="15">
        <f>MAX(0,BQ113-BR113)</f>
        <v/>
      </c>
      <c r="BT113" s="15">
        <f>SUMPRODUCT(($B$75:$B$79=A113)*$G$75:$G$79)</f>
        <v/>
      </c>
      <c r="BU113" s="15">
        <f>SUMPRODUCT(($B$75:$B$79=A113)*$H$75:$H$79)</f>
        <v/>
      </c>
      <c r="BV113" s="15">
        <f>SUMPRODUCT(($B$75:$B$79=A113)*$I$75:$I$79)</f>
        <v/>
      </c>
      <c r="BW113" s="15">
        <f>AL113*properties!$C$2*(1+properties!$D$2)^(A113-household!$B$4+1)</f>
        <v/>
      </c>
      <c r="BX113" s="15">
        <f>SUMPRODUCT((1-($B$76:$B$79&gt;0)*(A113&gt;=$B$76:$B$79))*properties!$C$3:$C$6*(1+properties!$D$3:$D$6)^(A113-household!$B$4+1))</f>
        <v/>
      </c>
      <c r="BY113" s="15">
        <f>IF(A113&gt;=$B$31,IF(A113&gt;=$B$32,MAX(household!$B$11*12*(1-$B$28)*O113*IF(A113&gt;=$B$30,1-$B$29,1)*$B$33,0.5*household!$B$12*12*(1-$B$28)*O113*IF(A113&gt;=$B$30,1-$B$29,1)*$B$35),household!$B$11*12*(1-$B$28)*O113*IF(A113&gt;=$B$30,1-$B$29,1)*$B$33),0)</f>
        <v/>
      </c>
      <c r="BZ113" s="15">
        <f>IF(A113&gt;=$B$32,IF(A113&gt;=$B$31,MAX(household!$B$12*12*(1-$B$28)*O113*IF(A113&gt;=$B$30,1-$B$29,1)*$B$34,0.5*household!$B$11*12*(1-$B$28)*O113*IF(A113&gt;=$B$30,1-$B$29,1)*$B$36),household!$B$12*12*(1-$B$28)*O113*IF(A113&gt;=$B$30,1-$B$29,1)*$B$34),0)</f>
        <v/>
      </c>
      <c r="CA113" s="15">
        <f>IF(AND($B$43&lt;&gt;0,A113&gt;=household!$B$6+$B$44),$B$43*(1+$B$18)^(MAX(household!$B$6+$B$44,household!$B$4-1)-household!$B$4+1)*(1+$B$47*$B$18)^(A113-MAX(household!$B$6+$B$44,household!$B$4-1)),0)</f>
        <v/>
      </c>
      <c r="CB113" s="15">
        <f>IF(AND($B$45&lt;&gt;0,A113&gt;=household!$B$9+$B$46),$B$45*(1+$B$18)^(MAX(household!$B$9+$B$46,household!$B$4-1)-household!$B$4+1)*(1+$B$47*$B$18)^(A113-MAX(household!$B$9+$B$46,household!$B$4-1)),0)</f>
        <v/>
      </c>
      <c r="CC113" s="15">
        <f>DC112</f>
        <v/>
      </c>
      <c r="CD113" s="15">
        <f>DD112</f>
        <v/>
      </c>
      <c r="CE113" s="15">
        <f>$B$20*CC113</f>
        <v/>
      </c>
      <c r="CF113" s="15">
        <f>DE112</f>
        <v/>
      </c>
      <c r="CG113" s="15">
        <f>DF112</f>
        <v/>
      </c>
      <c r="CH113" s="15">
        <f>IF(B113&gt;=$B$71,MAX(0,CF113)/INDEX(tax_tables!$Z$5:$Z$53,MATCH(B113,tax_tables!$Y$5:$Y$53,0)),0)</f>
        <v/>
      </c>
      <c r="CI113" s="15">
        <f>IF(C113&gt;=$B$72,MAX(0,CG113)/INDEX(tax_tables!$Z$5:$Z$53,MATCH(C113,tax_tables!$Y$5:$Y$53,0)),0)</f>
        <v/>
      </c>
      <c r="CJ113" s="15">
        <f>DG112</f>
        <v/>
      </c>
      <c r="CK113" s="15">
        <f>IF(OR($B$59="",$B$60=""),0,IF(AND(A113&gt;=$B$59,A113&lt;=$B$60),$B$58*O113,0))</f>
        <v/>
      </c>
      <c r="CL113" s="15">
        <f>MAX(0,CF113*(1+M113)-CH113)</f>
        <v/>
      </c>
      <c r="CM113" s="15">
        <f>MAX(0,CG113*(1+M113)-CI113)</f>
        <v/>
      </c>
      <c r="CN113" s="15">
        <f>EB112-AG112</f>
        <v/>
      </c>
      <c r="CO113" s="15">
        <f>AH113+F113+CA113+CB113+BQ113+CE113+CH113+CI113+BT113+AI113+AJ113+BO113</f>
        <v/>
      </c>
      <c r="CP113" s="15">
        <f>D113+CN113-CO113</f>
        <v/>
      </c>
      <c r="CQ113" s="15">
        <f>MAX(0,MIN(CP113,CC113*(1+M113-$B$20)))</f>
        <v/>
      </c>
      <c r="CR113" s="15">
        <f>MAX(0,MIN(CP113-CQ113,CL113+CM113))</f>
        <v/>
      </c>
      <c r="CS113" s="15">
        <f>IF(CL113+CM113&gt;1,CR113*CL113/(CL113+CM113),0)</f>
        <v/>
      </c>
      <c r="CT113" s="15">
        <f>CR113-CS113</f>
        <v/>
      </c>
      <c r="CU113" s="15">
        <f>MAX(0,MIN(CP113-CQ113-CR113,CJ113*(1+M113)))</f>
        <v/>
      </c>
      <c r="CV113" s="15">
        <f>MAX(0,MIN(CP113-CQ113-CR113-CU113,BN113*(1+M113)-BO113+AC113))</f>
        <v/>
      </c>
      <c r="CW113" s="15">
        <f>MAX(0,-CP113)</f>
        <v/>
      </c>
      <c r="CX113" s="15">
        <f>MIN(CK113,CL113-CS113+CM113-CT113)</f>
        <v/>
      </c>
      <c r="CY113" s="15">
        <f>IF(CL113-CS113+CM113-CT113&gt;1,CX113*(CL113-CS113)/(CL113-CS113+CM113-CT113),0)</f>
        <v/>
      </c>
      <c r="CZ113" s="15">
        <f>CX113-CY113</f>
        <v/>
      </c>
      <c r="DA113" s="22">
        <f>IF(CC113&gt;0,MAX(0,1-CD113/CC113),0)</f>
        <v/>
      </c>
      <c r="DB113" s="15">
        <f>CQ113*DA113</f>
        <v/>
      </c>
      <c r="DC113" s="15">
        <f>CC113*(1+M113-$B$20)-CQ113+CW113</f>
        <v/>
      </c>
      <c r="DD113" s="15">
        <f>CD113-(CQ113-DB113)+CW113</f>
        <v/>
      </c>
      <c r="DE113" s="15">
        <f>CF113*(1+M113)-CH113-CS113-CY113+Y113+AA113</f>
        <v/>
      </c>
      <c r="DF113" s="15">
        <f>CG113*(1+M113)-CI113-CT113-CZ113+Z113+AB113</f>
        <v/>
      </c>
      <c r="DG113" s="15">
        <f>CJ113*(1+M113)-CU113+CX113</f>
        <v/>
      </c>
      <c r="DH113" s="15">
        <f>AE113+CR113+CH113+CI113+CX113+CV113+BS113+AI113+CA113+CB113</f>
        <v/>
      </c>
      <c r="DI113" s="15">
        <f>CE113+DB113+BU113</f>
        <v/>
      </c>
      <c r="DJ113" s="15">
        <f>IF((DH113+DI113+0.5*F113)&lt;=tax_tables!$B$14,0,IF((DH113+DI113+0.5*F113)&lt;=tax_tables!$B$15,MIN(0.5*F113,0.5*((DH113+DI113+0.5*F113)-tax_tables!$B$14)),MIN(0.85*F113,0.85*((DH113+DI113+0.5*F113)-tax_tables!$B$15)+MIN(0.5*F113,tax_tables!$B$15-tax_tables!$B$14))))</f>
        <v/>
      </c>
      <c r="DK113" s="15">
        <f>DH113+DI113+DJ113</f>
        <v/>
      </c>
      <c r="DL113" s="12">
        <f>(B113&gt;=65)+(C113&gt;=65)</f>
        <v/>
      </c>
      <c r="DM113" s="15">
        <f>(tax_tables!$B$5+tax_tables!$B$6*DL113)*P113</f>
        <v/>
      </c>
      <c r="DN113" s="15">
        <f>IF(AND(A113&gt;=tax_tables!$B$8,A113&lt;=tax_tables!$B$9),DL113*MAX(0,tax_tables!$B$7-tax_tables!$B$11*MAX(0,DK113-tax_tables!$B$10)),0)</f>
        <v/>
      </c>
      <c r="DO113" s="15">
        <f>IFERROR(MAX(tax_tables!$B$16,INDEX(tax_tables!$W$5:$W$8,MATCH(A113,tax_tables!$V$5:$V$8,0))-tax_tables!$B$18*MAX(0,DK113-tax_tables!$B$17*1.01^(A113-tax_tables!$B$4))),tax_tables!$B$16)</f>
        <v/>
      </c>
      <c r="DP113" s="15">
        <f>MAX(0,BM113-BB113-tax_tables!$B$23*DK113)</f>
        <v/>
      </c>
      <c r="DQ113" s="15">
        <f>AN113+MIN(DO113,DY112+DZ112+EA112+AL113*properties!$H$2*O113)+DP113+$B$61*O113</f>
        <v/>
      </c>
      <c r="DR113" s="15">
        <f>MAX(DM113,DQ113)</f>
        <v/>
      </c>
      <c r="DS113" s="15">
        <f>MAX(0,DH113+DJ113-DR113-DN113)</f>
        <v/>
      </c>
      <c r="DT113" s="15">
        <f>MAX(0,DI113-MAX(0,DR113+DN113-DH113-DJ113))</f>
        <v/>
      </c>
      <c r="DU113" s="15">
        <f>SUMPRODUCT((DS113&gt;tax_tables!$E$5:$E$16*P113)*(DS113-tax_tables!$E$5:$E$16*P113)*tax_tables!$G$5:$G$16)+SUMPRODUCT(((DS113+DT113)&gt;tax_tables!$I$5:$I$16*P113)*((DS113+DT113)-tax_tables!$I$5:$I$16*P113)*tax_tables!$K$5:$K$16)-SUMPRODUCT((DS113&gt;tax_tables!$I$5:$I$16*P113)*(DS113-tax_tables!$I$5:$I$16*P113)*tax_tables!$K$5:$K$16)+tax_tables!$B$19*BV113+tax_tables!$B$12*MIN(CE113+DB113+BS113+BU113,MAX(0,DK113-tax_tables!$B$13))</f>
        <v/>
      </c>
      <c r="DV113" s="12">
        <f>IF($B$39="",0,IF(A113&gt;=$B$39,1,0))</f>
        <v/>
      </c>
      <c r="DW113" s="15">
        <f>IF(B113+0.5&gt;=tax_tables!$B$30,MIN(CS113+CH113+CY113+CA113,tax_tables!$B$29),0)+IF(C113+0.5&gt;=tax_tables!$B$30,MIN(CT113+CI113+CZ113+CB113,tax_tables!$B$29),0)</f>
        <v/>
      </c>
      <c r="DX113" s="15">
        <f>MAX(0,DK113-tax_tables!$B$28*DJ113-DW113-tax_tables!$B$26*IF(tax_tables!$B$27=1,P113,1))</f>
        <v/>
      </c>
      <c r="DY113" s="15">
        <f>(1-DV113)*SUMPRODUCT((DX113&gt;tax_tables!$M$5:$M$16*IF(tax_tables!$B$27=1,P113,1))*(DX113-tax_tables!$M$5:$M$16*IF(tax_tables!$B$27=1,P113,1))*tax_tables!$O$5:$O$16)</f>
        <v/>
      </c>
      <c r="DZ113" s="15">
        <f>(1-DV113)*tax_tables!$B$31*DX113</f>
        <v/>
      </c>
      <c r="EA113" s="15">
        <f>DV113*$B$40*MAX(0,DK113-DJ113)</f>
        <v/>
      </c>
      <c r="EB113" s="15">
        <f>DU113+DY113+DZ113+EA113</f>
        <v/>
      </c>
      <c r="EC113" s="15">
        <f>DC113+DE113+DF113+DG113+BP113</f>
        <v/>
      </c>
      <c r="ED113" s="15">
        <f>EC113+BW113-AP113+BX113</f>
        <v/>
      </c>
    </row>
    <row r="114">
      <c r="A114" s="12">
        <f>A113+1</f>
        <v/>
      </c>
      <c r="B114" s="12">
        <f>A114-household!$B$6</f>
        <v/>
      </c>
      <c r="C114" s="12">
        <f>A114-household!$B$9</f>
        <v/>
      </c>
      <c r="D114" s="15">
        <f>AS114+AT114+AU114+AV114+AZ114+BM114+AK114</f>
        <v/>
      </c>
      <c r="E114" s="15">
        <f>CN114+AG114+AF114</f>
        <v/>
      </c>
      <c r="F114" s="15">
        <f>BY114+BZ114</f>
        <v/>
      </c>
      <c r="G114" s="15">
        <f>CQ114+CR114+CU114+CH114+CI114+CE114-CW114+CV114+BO114</f>
        <v/>
      </c>
      <c r="H114" s="22">
        <f>IF(CC114+CF114+CG114+CJ114+BN114&lt;=0,"",G114/(CC114+CF114+CG114+CJ114+BN114))</f>
        <v/>
      </c>
      <c r="I114" s="23">
        <f>EC114/O114</f>
        <v/>
      </c>
      <c r="J114" s="23">
        <f>ED114/O114</f>
        <v/>
      </c>
      <c r="K114" s="15">
        <f>MAX(0,CP114-CQ114-CR114-CU114-CV114)</f>
        <v/>
      </c>
      <c r="L114" s="11" t="n"/>
      <c r="M114" s="22">
        <f>IF(L114="",$B$19,L114)</f>
        <v/>
      </c>
      <c r="N114" s="14" t="n"/>
      <c r="O114" s="13">
        <f>(1+$B$18)^(A114-household!$B$4+1)</f>
        <v/>
      </c>
      <c r="P114" s="13">
        <f>(1+$B$18)^(A114-tax_tables!$B$4)</f>
        <v/>
      </c>
      <c r="Q114" s="13">
        <f>(1+$B$21)^(A114-household!$B$4+1)</f>
        <v/>
      </c>
      <c r="R114" s="13">
        <f>(1+$B$22)^(A114-household!$B$4+1)</f>
        <v/>
      </c>
      <c r="S114" s="13">
        <f>(1+$B$23)^(A114-household!$B$4+1)</f>
        <v/>
      </c>
      <c r="T114" s="12">
        <f>IF(A114&lt;$B$5,1,0)</f>
        <v/>
      </c>
      <c r="U114" s="12">
        <f>IF(A114&lt;$B$6,1,0)</f>
        <v/>
      </c>
      <c r="V114" s="12">
        <f>IF(T114+U114&gt;0,1,0)</f>
        <v/>
      </c>
      <c r="W114" s="15">
        <f>T114*$B$7*O114+SUMPRODUCT(($B$83:$B$88=A114)*($D$83:$D$88="Wages: person 1")*$C$83:$C$88)*O114</f>
        <v/>
      </c>
      <c r="X114" s="15">
        <f>U114*$B$8*O114+SUMPRODUCT(($B$83:$B$88=A114)*($D$83:$D$88="Wages: person 2")*$C$83:$C$88)*O114</f>
        <v/>
      </c>
      <c r="Y114" s="15">
        <f>T114*$B$9*O114</f>
        <v/>
      </c>
      <c r="Z114" s="15">
        <f>U114*$B$10*O114</f>
        <v/>
      </c>
      <c r="AA114" s="15">
        <f>T114*$B$11*O114</f>
        <v/>
      </c>
      <c r="AB114" s="15">
        <f>U114*$B$12*O114</f>
        <v/>
      </c>
      <c r="AC114" s="15">
        <f>V114*$B$13*O114</f>
        <v/>
      </c>
      <c r="AD114" s="15">
        <f>W114+X114</f>
        <v/>
      </c>
      <c r="AE114" s="15">
        <f>AD114-Y114-Z114-AC114</f>
        <v/>
      </c>
      <c r="AF114" s="15">
        <f>0.062*MIN(W114,tax_tables!$B$21*P114)+0.062*MIN(X114,tax_tables!$B$21*P114)+0.0145*AD114+0.009*MAX(0,AD114-tax_tables!$B$22)</f>
        <v/>
      </c>
      <c r="AG114" s="15">
        <f>$B$14*AE114</f>
        <v/>
      </c>
      <c r="AH114" s="15">
        <f>AD114-Y114-Z114-AC114-AF114-AG114</f>
        <v/>
      </c>
      <c r="AI114" s="15">
        <f>SUMPRODUCT(($B$83:$B$88=A114)*($D$83:$D$88="Other taxable income")*$C$83:$C$88)*O114</f>
        <v/>
      </c>
      <c r="AJ114" s="15">
        <f>SUMPRODUCT(($B$83:$B$88=A114)*($D$83:$D$88="Tax-free money in")*$C$83:$C$88)*O114</f>
        <v/>
      </c>
      <c r="AK114" s="15">
        <f>SUMPRODUCT(($B$83:$B$88=A114)*($D$83:$D$88="Expense")*$C$83:$C$88)*O114</f>
        <v/>
      </c>
      <c r="AL114" s="12">
        <f>IF(OR($B$75="",A114&lt;$B$75),1,0)</f>
        <v/>
      </c>
      <c r="AM114" s="15">
        <f>AP113</f>
        <v/>
      </c>
      <c r="AN114" s="15">
        <f>AL114*AM114*properties!$J$2</f>
        <v/>
      </c>
      <c r="AO114" s="15">
        <f>AL114*MIN(properties!$K$2,AM114+AN114)</f>
        <v/>
      </c>
      <c r="AP114" s="15">
        <f>AL114*(AM114+AN114-AO114)</f>
        <v/>
      </c>
      <c r="AQ114" s="15">
        <f>AL114*properties!$G$2*O114</f>
        <v/>
      </c>
      <c r="AR114" s="15">
        <f>(1-AL114)*$E$75*O114</f>
        <v/>
      </c>
      <c r="AS114" s="15">
        <f>AO114+AQ114+AR114</f>
        <v/>
      </c>
      <c r="AT114" s="15">
        <f>SUMIF(budget!$A$2:$A$300,"household",budget!$F$2:$F$300)*O114*IF(N114="",1,N114)</f>
        <v/>
      </c>
      <c r="AU114" s="15">
        <f>SUMPRODUCT((other_budget!$C$2:$C$30&lt;=A114)*(other_budget!$D$2:$D$30&gt;=A114)*other_budget!$B$2:$B$30)*O114</f>
        <v/>
      </c>
      <c r="AV114" s="15">
        <f>SUMPRODUCT((kids_budget!$D$2:$D$40&lt;=A114)*(kids_budget!$E$2:$E$40&gt;=A114)*(kids_budget!$G$2:$G$40&lt;&gt;"college_funds")*kids_budget!$C$2:$C$40*((kids_budget!$F$2:$F$40="college")*R114+(kids_budget!$F$2:$F$40&lt;&gt;"college")*O114))</f>
        <v/>
      </c>
      <c r="AW114" s="15">
        <f>SUMPRODUCT((kids_budget!$D$2:$D$40&lt;=A114)*(kids_budget!$E$2:$E$40&gt;=A114)*(kids_budget!$G$2:$G$40="college_funds")*kids_budget!$C$2:$C$40*((kids_budget!$F$2:$F$40="college")*R114+(kids_budget!$F$2:$F$40&lt;&gt;"college")*O114))</f>
        <v/>
      </c>
      <c r="AX114" s="15">
        <f>BA113</f>
        <v/>
      </c>
      <c r="AY114" s="15">
        <f>MIN(AW114,AX114*(1+M114))</f>
        <v/>
      </c>
      <c r="AZ114" s="15">
        <f>AW114-AY114</f>
        <v/>
      </c>
      <c r="BA114" s="15">
        <f>AX114*(1+M114)-AY114</f>
        <v/>
      </c>
      <c r="BB114" s="15">
        <f>V114*healthcare!$B$5*Q114</f>
        <v/>
      </c>
      <c r="BC114" s="12">
        <f>(1-V114)*((B114&lt;65)+(C114&lt;65))</f>
        <v/>
      </c>
      <c r="BD114" s="12">
        <f>COUNTIF(household!$C$16:$C$23,"&gt;="&amp;A114)</f>
        <v/>
      </c>
      <c r="BE114" s="15">
        <f>(BC114*healthcare!$B$2+IF(BC114&gt;0,BD114,0)*healthcare!$B$3)*12*Q114</f>
        <v/>
      </c>
      <c r="BF114" s="15">
        <f>IF(BC114&gt;0,(BC114+BD114)*healthcare!$B$4*Q114,0)</f>
        <v/>
      </c>
      <c r="BG114" s="12">
        <f>(B114&gt;=65)+(C114&gt;=65)</f>
        <v/>
      </c>
      <c r="BH114" s="15">
        <f>BG114*(healthcare!$B$6+healthcare!$B$7+healthcare!$B$8)*12*Q114</f>
        <v/>
      </c>
      <c r="BI114" s="15">
        <f>BG114*healthcare!$B$9*Q114</f>
        <v/>
      </c>
      <c r="BJ114" s="15">
        <f>BG114*12*O114*SUMPRODUCT((DK112&gt;tax_tables!$Q$5:$Q$9*P114)*tax_tables!$T$5:$T$9)</f>
        <v/>
      </c>
      <c r="BK114" s="12">
        <f>AND(B114&gt;=$B$51,B114&lt;$B$51+$B$52)*1+AND(C114&gt;=$B$53,C114&lt;$B$53+$B$54)*1</f>
        <v/>
      </c>
      <c r="BL114" s="15">
        <f>BK114*$B$55*S114</f>
        <v/>
      </c>
      <c r="BM114" s="15">
        <f>BB114+BE114+BF114+BH114+BI114+BJ114+BL114</f>
        <v/>
      </c>
      <c r="BN114" s="15">
        <f>BP113</f>
        <v/>
      </c>
      <c r="BO114" s="15">
        <f>IF(V114=1,0,MIN(BN114*(1+M114),BF114+BG114*(healthcare!$B$6+healthcare!$B$7)*12*Q114+BI114+BJ114+BL114))</f>
        <v/>
      </c>
      <c r="BP114" s="15">
        <f>BN114*(1+M114)-BO114+AC114-CV114</f>
        <v/>
      </c>
      <c r="BQ114" s="15">
        <f>SUMPRODUCT((1-($B$76:$B$79&gt;0)*(A114&gt;=$B$76:$B$79))*(1-(($C$76:$C$79&gt;0)*(A114&gt;=$C$76:$C$79)))*(properties!$L$3:$L$6-properties!$M$3:$M$6))*O114+SUMPRODUCT((1-($B$76:$B$79&gt;0)*(A114&gt;=$B$76:$B$79))*(($C$76:$C$79&gt;0)*(A114&gt;=$C$76:$C$79))*($D$76:$D$79-$E$76:$E$79))*O114</f>
        <v/>
      </c>
      <c r="BR114" s="15">
        <f>SUMPRODUCT((1-($B$76:$B$79&gt;0)*(A114&gt;=$B$76:$B$79))*properties!$N$3:$N$6*(A114&lt;=properties!$O$3:$O$6))</f>
        <v/>
      </c>
      <c r="BS114" s="15">
        <f>MAX(0,BQ114-BR114)</f>
        <v/>
      </c>
      <c r="BT114" s="15">
        <f>SUMPRODUCT(($B$75:$B$79=A114)*$G$75:$G$79)</f>
        <v/>
      </c>
      <c r="BU114" s="15">
        <f>SUMPRODUCT(($B$75:$B$79=A114)*$H$75:$H$79)</f>
        <v/>
      </c>
      <c r="BV114" s="15">
        <f>SUMPRODUCT(($B$75:$B$79=A114)*$I$75:$I$79)</f>
        <v/>
      </c>
      <c r="BW114" s="15">
        <f>AL114*properties!$C$2*(1+properties!$D$2)^(A114-household!$B$4+1)</f>
        <v/>
      </c>
      <c r="BX114" s="15">
        <f>SUMPRODUCT((1-($B$76:$B$79&gt;0)*(A114&gt;=$B$76:$B$79))*properties!$C$3:$C$6*(1+properties!$D$3:$D$6)^(A114-household!$B$4+1))</f>
        <v/>
      </c>
      <c r="BY114" s="15">
        <f>IF(A114&gt;=$B$31,IF(A114&gt;=$B$32,MAX(household!$B$11*12*(1-$B$28)*O114*IF(A114&gt;=$B$30,1-$B$29,1)*$B$33,0.5*household!$B$12*12*(1-$B$28)*O114*IF(A114&gt;=$B$30,1-$B$29,1)*$B$35),household!$B$11*12*(1-$B$28)*O114*IF(A114&gt;=$B$30,1-$B$29,1)*$B$33),0)</f>
        <v/>
      </c>
      <c r="BZ114" s="15">
        <f>IF(A114&gt;=$B$32,IF(A114&gt;=$B$31,MAX(household!$B$12*12*(1-$B$28)*O114*IF(A114&gt;=$B$30,1-$B$29,1)*$B$34,0.5*household!$B$11*12*(1-$B$28)*O114*IF(A114&gt;=$B$30,1-$B$29,1)*$B$36),household!$B$12*12*(1-$B$28)*O114*IF(A114&gt;=$B$30,1-$B$29,1)*$B$34),0)</f>
        <v/>
      </c>
      <c r="CA114" s="15">
        <f>IF(AND($B$43&lt;&gt;0,A114&gt;=household!$B$6+$B$44),$B$43*(1+$B$18)^(MAX(household!$B$6+$B$44,household!$B$4-1)-household!$B$4+1)*(1+$B$47*$B$18)^(A114-MAX(household!$B$6+$B$44,household!$B$4-1)),0)</f>
        <v/>
      </c>
      <c r="CB114" s="15">
        <f>IF(AND($B$45&lt;&gt;0,A114&gt;=household!$B$9+$B$46),$B$45*(1+$B$18)^(MAX(household!$B$9+$B$46,household!$B$4-1)-household!$B$4+1)*(1+$B$47*$B$18)^(A114-MAX(household!$B$9+$B$46,household!$B$4-1)),0)</f>
        <v/>
      </c>
      <c r="CC114" s="15">
        <f>DC113</f>
        <v/>
      </c>
      <c r="CD114" s="15">
        <f>DD113</f>
        <v/>
      </c>
      <c r="CE114" s="15">
        <f>$B$20*CC114</f>
        <v/>
      </c>
      <c r="CF114" s="15">
        <f>DE113</f>
        <v/>
      </c>
      <c r="CG114" s="15">
        <f>DF113</f>
        <v/>
      </c>
      <c r="CH114" s="15">
        <f>IF(B114&gt;=$B$71,MAX(0,CF114)/INDEX(tax_tables!$Z$5:$Z$53,MATCH(B114,tax_tables!$Y$5:$Y$53,0)),0)</f>
        <v/>
      </c>
      <c r="CI114" s="15">
        <f>IF(C114&gt;=$B$72,MAX(0,CG114)/INDEX(tax_tables!$Z$5:$Z$53,MATCH(C114,tax_tables!$Y$5:$Y$53,0)),0)</f>
        <v/>
      </c>
      <c r="CJ114" s="15">
        <f>DG113</f>
        <v/>
      </c>
      <c r="CK114" s="15">
        <f>IF(OR($B$59="",$B$60=""),0,IF(AND(A114&gt;=$B$59,A114&lt;=$B$60),$B$58*O114,0))</f>
        <v/>
      </c>
      <c r="CL114" s="15">
        <f>MAX(0,CF114*(1+M114)-CH114)</f>
        <v/>
      </c>
      <c r="CM114" s="15">
        <f>MAX(0,CG114*(1+M114)-CI114)</f>
        <v/>
      </c>
      <c r="CN114" s="15">
        <f>EB113-AG113</f>
        <v/>
      </c>
      <c r="CO114" s="15">
        <f>AH114+F114+CA114+CB114+BQ114+CE114+CH114+CI114+BT114+AI114+AJ114+BO114</f>
        <v/>
      </c>
      <c r="CP114" s="15">
        <f>D114+CN114-CO114</f>
        <v/>
      </c>
      <c r="CQ114" s="15">
        <f>MAX(0,MIN(CP114,CC114*(1+M114-$B$20)))</f>
        <v/>
      </c>
      <c r="CR114" s="15">
        <f>MAX(0,MIN(CP114-CQ114,CL114+CM114))</f>
        <v/>
      </c>
      <c r="CS114" s="15">
        <f>IF(CL114+CM114&gt;1,CR114*CL114/(CL114+CM114),0)</f>
        <v/>
      </c>
      <c r="CT114" s="15">
        <f>CR114-CS114</f>
        <v/>
      </c>
      <c r="CU114" s="15">
        <f>MAX(0,MIN(CP114-CQ114-CR114,CJ114*(1+M114)))</f>
        <v/>
      </c>
      <c r="CV114" s="15">
        <f>MAX(0,MIN(CP114-CQ114-CR114-CU114,BN114*(1+M114)-BO114+AC114))</f>
        <v/>
      </c>
      <c r="CW114" s="15">
        <f>MAX(0,-CP114)</f>
        <v/>
      </c>
      <c r="CX114" s="15">
        <f>MIN(CK114,CL114-CS114+CM114-CT114)</f>
        <v/>
      </c>
      <c r="CY114" s="15">
        <f>IF(CL114-CS114+CM114-CT114&gt;1,CX114*(CL114-CS114)/(CL114-CS114+CM114-CT114),0)</f>
        <v/>
      </c>
      <c r="CZ114" s="15">
        <f>CX114-CY114</f>
        <v/>
      </c>
      <c r="DA114" s="22">
        <f>IF(CC114&gt;0,MAX(0,1-CD114/CC114),0)</f>
        <v/>
      </c>
      <c r="DB114" s="15">
        <f>CQ114*DA114</f>
        <v/>
      </c>
      <c r="DC114" s="15">
        <f>CC114*(1+M114-$B$20)-CQ114+CW114</f>
        <v/>
      </c>
      <c r="DD114" s="15">
        <f>CD114-(CQ114-DB114)+CW114</f>
        <v/>
      </c>
      <c r="DE114" s="15">
        <f>CF114*(1+M114)-CH114-CS114-CY114+Y114+AA114</f>
        <v/>
      </c>
      <c r="DF114" s="15">
        <f>CG114*(1+M114)-CI114-CT114-CZ114+Z114+AB114</f>
        <v/>
      </c>
      <c r="DG114" s="15">
        <f>CJ114*(1+M114)-CU114+CX114</f>
        <v/>
      </c>
      <c r="DH114" s="15">
        <f>AE114+CR114+CH114+CI114+CX114+CV114+BS114+AI114+CA114+CB114</f>
        <v/>
      </c>
      <c r="DI114" s="15">
        <f>CE114+DB114+BU114</f>
        <v/>
      </c>
      <c r="DJ114" s="15">
        <f>IF((DH114+DI114+0.5*F114)&lt;=tax_tables!$B$14,0,IF((DH114+DI114+0.5*F114)&lt;=tax_tables!$B$15,MIN(0.5*F114,0.5*((DH114+DI114+0.5*F114)-tax_tables!$B$14)),MIN(0.85*F114,0.85*((DH114+DI114+0.5*F114)-tax_tables!$B$15)+MIN(0.5*F114,tax_tables!$B$15-tax_tables!$B$14))))</f>
        <v/>
      </c>
      <c r="DK114" s="15">
        <f>DH114+DI114+DJ114</f>
        <v/>
      </c>
      <c r="DL114" s="12">
        <f>(B114&gt;=65)+(C114&gt;=65)</f>
        <v/>
      </c>
      <c r="DM114" s="15">
        <f>(tax_tables!$B$5+tax_tables!$B$6*DL114)*P114</f>
        <v/>
      </c>
      <c r="DN114" s="15">
        <f>IF(AND(A114&gt;=tax_tables!$B$8,A114&lt;=tax_tables!$B$9),DL114*MAX(0,tax_tables!$B$7-tax_tables!$B$11*MAX(0,DK114-tax_tables!$B$10)),0)</f>
        <v/>
      </c>
      <c r="DO114" s="15">
        <f>IFERROR(MAX(tax_tables!$B$16,INDEX(tax_tables!$W$5:$W$8,MATCH(A114,tax_tables!$V$5:$V$8,0))-tax_tables!$B$18*MAX(0,DK114-tax_tables!$B$17*1.01^(A114-tax_tables!$B$4))),tax_tables!$B$16)</f>
        <v/>
      </c>
      <c r="DP114" s="15">
        <f>MAX(0,BM114-BB114-tax_tables!$B$23*DK114)</f>
        <v/>
      </c>
      <c r="DQ114" s="15">
        <f>AN114+MIN(DO114,DY113+DZ113+EA113+AL114*properties!$H$2*O114)+DP114+$B$61*O114</f>
        <v/>
      </c>
      <c r="DR114" s="15">
        <f>MAX(DM114,DQ114)</f>
        <v/>
      </c>
      <c r="DS114" s="15">
        <f>MAX(0,DH114+DJ114-DR114-DN114)</f>
        <v/>
      </c>
      <c r="DT114" s="15">
        <f>MAX(0,DI114-MAX(0,DR114+DN114-DH114-DJ114))</f>
        <v/>
      </c>
      <c r="DU114" s="15">
        <f>SUMPRODUCT((DS114&gt;tax_tables!$E$5:$E$16*P114)*(DS114-tax_tables!$E$5:$E$16*P114)*tax_tables!$G$5:$G$16)+SUMPRODUCT(((DS114+DT114)&gt;tax_tables!$I$5:$I$16*P114)*((DS114+DT114)-tax_tables!$I$5:$I$16*P114)*tax_tables!$K$5:$K$16)-SUMPRODUCT((DS114&gt;tax_tables!$I$5:$I$16*P114)*(DS114-tax_tables!$I$5:$I$16*P114)*tax_tables!$K$5:$K$16)+tax_tables!$B$19*BV114+tax_tables!$B$12*MIN(CE114+DB114+BS114+BU114,MAX(0,DK114-tax_tables!$B$13))</f>
        <v/>
      </c>
      <c r="DV114" s="12">
        <f>IF($B$39="",0,IF(A114&gt;=$B$39,1,0))</f>
        <v/>
      </c>
      <c r="DW114" s="15">
        <f>IF(B114+0.5&gt;=tax_tables!$B$30,MIN(CS114+CH114+CY114+CA114,tax_tables!$B$29),0)+IF(C114+0.5&gt;=tax_tables!$B$30,MIN(CT114+CI114+CZ114+CB114,tax_tables!$B$29),0)</f>
        <v/>
      </c>
      <c r="DX114" s="15">
        <f>MAX(0,DK114-tax_tables!$B$28*DJ114-DW114-tax_tables!$B$26*IF(tax_tables!$B$27=1,P114,1))</f>
        <v/>
      </c>
      <c r="DY114" s="15">
        <f>(1-DV114)*SUMPRODUCT((DX114&gt;tax_tables!$M$5:$M$16*IF(tax_tables!$B$27=1,P114,1))*(DX114-tax_tables!$M$5:$M$16*IF(tax_tables!$B$27=1,P114,1))*tax_tables!$O$5:$O$16)</f>
        <v/>
      </c>
      <c r="DZ114" s="15">
        <f>(1-DV114)*tax_tables!$B$31*DX114</f>
        <v/>
      </c>
      <c r="EA114" s="15">
        <f>DV114*$B$40*MAX(0,DK114-DJ114)</f>
        <v/>
      </c>
      <c r="EB114" s="15">
        <f>DU114+DY114+DZ114+EA114</f>
        <v/>
      </c>
      <c r="EC114" s="15">
        <f>DC114+DE114+DF114+DG114+BP114</f>
        <v/>
      </c>
      <c r="ED114" s="15">
        <f>EC114+BW114-AP114+BX114</f>
        <v/>
      </c>
    </row>
    <row r="115">
      <c r="A115" s="12">
        <f>A114+1</f>
        <v/>
      </c>
      <c r="B115" s="12">
        <f>A115-household!$B$6</f>
        <v/>
      </c>
      <c r="C115" s="12">
        <f>A115-household!$B$9</f>
        <v/>
      </c>
      <c r="D115" s="15">
        <f>AS115+AT115+AU115+AV115+AZ115+BM115+AK115</f>
        <v/>
      </c>
      <c r="E115" s="15">
        <f>CN115+AG115+AF115</f>
        <v/>
      </c>
      <c r="F115" s="15">
        <f>BY115+BZ115</f>
        <v/>
      </c>
      <c r="G115" s="15">
        <f>CQ115+CR115+CU115+CH115+CI115+CE115-CW115+CV115+BO115</f>
        <v/>
      </c>
      <c r="H115" s="22">
        <f>IF(CC115+CF115+CG115+CJ115+BN115&lt;=0,"",G115/(CC115+CF115+CG115+CJ115+BN115))</f>
        <v/>
      </c>
      <c r="I115" s="23">
        <f>EC115/O115</f>
        <v/>
      </c>
      <c r="J115" s="23">
        <f>ED115/O115</f>
        <v/>
      </c>
      <c r="K115" s="15">
        <f>MAX(0,CP115-CQ115-CR115-CU115-CV115)</f>
        <v/>
      </c>
      <c r="L115" s="11" t="n"/>
      <c r="M115" s="22">
        <f>IF(L115="",$B$19,L115)</f>
        <v/>
      </c>
      <c r="N115" s="14" t="n"/>
      <c r="O115" s="13">
        <f>(1+$B$18)^(A115-household!$B$4+1)</f>
        <v/>
      </c>
      <c r="P115" s="13">
        <f>(1+$B$18)^(A115-tax_tables!$B$4)</f>
        <v/>
      </c>
      <c r="Q115" s="13">
        <f>(1+$B$21)^(A115-household!$B$4+1)</f>
        <v/>
      </c>
      <c r="R115" s="13">
        <f>(1+$B$22)^(A115-household!$B$4+1)</f>
        <v/>
      </c>
      <c r="S115" s="13">
        <f>(1+$B$23)^(A115-household!$B$4+1)</f>
        <v/>
      </c>
      <c r="T115" s="12">
        <f>IF(A115&lt;$B$5,1,0)</f>
        <v/>
      </c>
      <c r="U115" s="12">
        <f>IF(A115&lt;$B$6,1,0)</f>
        <v/>
      </c>
      <c r="V115" s="12">
        <f>IF(T115+U115&gt;0,1,0)</f>
        <v/>
      </c>
      <c r="W115" s="15">
        <f>T115*$B$7*O115+SUMPRODUCT(($B$83:$B$88=A115)*($D$83:$D$88="Wages: person 1")*$C$83:$C$88)*O115</f>
        <v/>
      </c>
      <c r="X115" s="15">
        <f>U115*$B$8*O115+SUMPRODUCT(($B$83:$B$88=A115)*($D$83:$D$88="Wages: person 2")*$C$83:$C$88)*O115</f>
        <v/>
      </c>
      <c r="Y115" s="15">
        <f>T115*$B$9*O115</f>
        <v/>
      </c>
      <c r="Z115" s="15">
        <f>U115*$B$10*O115</f>
        <v/>
      </c>
      <c r="AA115" s="15">
        <f>T115*$B$11*O115</f>
        <v/>
      </c>
      <c r="AB115" s="15">
        <f>U115*$B$12*O115</f>
        <v/>
      </c>
      <c r="AC115" s="15">
        <f>V115*$B$13*O115</f>
        <v/>
      </c>
      <c r="AD115" s="15">
        <f>W115+X115</f>
        <v/>
      </c>
      <c r="AE115" s="15">
        <f>AD115-Y115-Z115-AC115</f>
        <v/>
      </c>
      <c r="AF115" s="15">
        <f>0.062*MIN(W115,tax_tables!$B$21*P115)+0.062*MIN(X115,tax_tables!$B$21*P115)+0.0145*AD115+0.009*MAX(0,AD115-tax_tables!$B$22)</f>
        <v/>
      </c>
      <c r="AG115" s="15">
        <f>$B$14*AE115</f>
        <v/>
      </c>
      <c r="AH115" s="15">
        <f>AD115-Y115-Z115-AC115-AF115-AG115</f>
        <v/>
      </c>
      <c r="AI115" s="15">
        <f>SUMPRODUCT(($B$83:$B$88=A115)*($D$83:$D$88="Other taxable income")*$C$83:$C$88)*O115</f>
        <v/>
      </c>
      <c r="AJ115" s="15">
        <f>SUMPRODUCT(($B$83:$B$88=A115)*($D$83:$D$88="Tax-free money in")*$C$83:$C$88)*O115</f>
        <v/>
      </c>
      <c r="AK115" s="15">
        <f>SUMPRODUCT(($B$83:$B$88=A115)*($D$83:$D$88="Expense")*$C$83:$C$88)*O115</f>
        <v/>
      </c>
      <c r="AL115" s="12">
        <f>IF(OR($B$75="",A115&lt;$B$75),1,0)</f>
        <v/>
      </c>
      <c r="AM115" s="15">
        <f>AP114</f>
        <v/>
      </c>
      <c r="AN115" s="15">
        <f>AL115*AM115*properties!$J$2</f>
        <v/>
      </c>
      <c r="AO115" s="15">
        <f>AL115*MIN(properties!$K$2,AM115+AN115)</f>
        <v/>
      </c>
      <c r="AP115" s="15">
        <f>AL115*(AM115+AN115-AO115)</f>
        <v/>
      </c>
      <c r="AQ115" s="15">
        <f>AL115*properties!$G$2*O115</f>
        <v/>
      </c>
      <c r="AR115" s="15">
        <f>(1-AL115)*$E$75*O115</f>
        <v/>
      </c>
      <c r="AS115" s="15">
        <f>AO115+AQ115+AR115</f>
        <v/>
      </c>
      <c r="AT115" s="15">
        <f>SUMIF(budget!$A$2:$A$300,"household",budget!$F$2:$F$300)*O115*IF(N115="",1,N115)</f>
        <v/>
      </c>
      <c r="AU115" s="15">
        <f>SUMPRODUCT((other_budget!$C$2:$C$30&lt;=A115)*(other_budget!$D$2:$D$30&gt;=A115)*other_budget!$B$2:$B$30)*O115</f>
        <v/>
      </c>
      <c r="AV115" s="15">
        <f>SUMPRODUCT((kids_budget!$D$2:$D$40&lt;=A115)*(kids_budget!$E$2:$E$40&gt;=A115)*(kids_budget!$G$2:$G$40&lt;&gt;"college_funds")*kids_budget!$C$2:$C$40*((kids_budget!$F$2:$F$40="college")*R115+(kids_budget!$F$2:$F$40&lt;&gt;"college")*O115))</f>
        <v/>
      </c>
      <c r="AW115" s="15">
        <f>SUMPRODUCT((kids_budget!$D$2:$D$40&lt;=A115)*(kids_budget!$E$2:$E$40&gt;=A115)*(kids_budget!$G$2:$G$40="college_funds")*kids_budget!$C$2:$C$40*((kids_budget!$F$2:$F$40="college")*R115+(kids_budget!$F$2:$F$40&lt;&gt;"college")*O115))</f>
        <v/>
      </c>
      <c r="AX115" s="15">
        <f>BA114</f>
        <v/>
      </c>
      <c r="AY115" s="15">
        <f>MIN(AW115,AX115*(1+M115))</f>
        <v/>
      </c>
      <c r="AZ115" s="15">
        <f>AW115-AY115</f>
        <v/>
      </c>
      <c r="BA115" s="15">
        <f>AX115*(1+M115)-AY115</f>
        <v/>
      </c>
      <c r="BB115" s="15">
        <f>V115*healthcare!$B$5*Q115</f>
        <v/>
      </c>
      <c r="BC115" s="12">
        <f>(1-V115)*((B115&lt;65)+(C115&lt;65))</f>
        <v/>
      </c>
      <c r="BD115" s="12">
        <f>COUNTIF(household!$C$16:$C$23,"&gt;="&amp;A115)</f>
        <v/>
      </c>
      <c r="BE115" s="15">
        <f>(BC115*healthcare!$B$2+IF(BC115&gt;0,BD115,0)*healthcare!$B$3)*12*Q115</f>
        <v/>
      </c>
      <c r="BF115" s="15">
        <f>IF(BC115&gt;0,(BC115+BD115)*healthcare!$B$4*Q115,0)</f>
        <v/>
      </c>
      <c r="BG115" s="12">
        <f>(B115&gt;=65)+(C115&gt;=65)</f>
        <v/>
      </c>
      <c r="BH115" s="15">
        <f>BG115*(healthcare!$B$6+healthcare!$B$7+healthcare!$B$8)*12*Q115</f>
        <v/>
      </c>
      <c r="BI115" s="15">
        <f>BG115*healthcare!$B$9*Q115</f>
        <v/>
      </c>
      <c r="BJ115" s="15">
        <f>BG115*12*O115*SUMPRODUCT((DK113&gt;tax_tables!$Q$5:$Q$9*P115)*tax_tables!$T$5:$T$9)</f>
        <v/>
      </c>
      <c r="BK115" s="12">
        <f>AND(B115&gt;=$B$51,B115&lt;$B$51+$B$52)*1+AND(C115&gt;=$B$53,C115&lt;$B$53+$B$54)*1</f>
        <v/>
      </c>
      <c r="BL115" s="15">
        <f>BK115*$B$55*S115</f>
        <v/>
      </c>
      <c r="BM115" s="15">
        <f>BB115+BE115+BF115+BH115+BI115+BJ115+BL115</f>
        <v/>
      </c>
      <c r="BN115" s="15">
        <f>BP114</f>
        <v/>
      </c>
      <c r="BO115" s="15">
        <f>IF(V115=1,0,MIN(BN115*(1+M115),BF115+BG115*(healthcare!$B$6+healthcare!$B$7)*12*Q115+BI115+BJ115+BL115))</f>
        <v/>
      </c>
      <c r="BP115" s="15">
        <f>BN115*(1+M115)-BO115+AC115-CV115</f>
        <v/>
      </c>
      <c r="BQ115" s="15">
        <f>SUMPRODUCT((1-($B$76:$B$79&gt;0)*(A115&gt;=$B$76:$B$79))*(1-(($C$76:$C$79&gt;0)*(A115&gt;=$C$76:$C$79)))*(properties!$L$3:$L$6-properties!$M$3:$M$6))*O115+SUMPRODUCT((1-($B$76:$B$79&gt;0)*(A115&gt;=$B$76:$B$79))*(($C$76:$C$79&gt;0)*(A115&gt;=$C$76:$C$79))*($D$76:$D$79-$E$76:$E$79))*O115</f>
        <v/>
      </c>
      <c r="BR115" s="15">
        <f>SUMPRODUCT((1-($B$76:$B$79&gt;0)*(A115&gt;=$B$76:$B$79))*properties!$N$3:$N$6*(A115&lt;=properties!$O$3:$O$6))</f>
        <v/>
      </c>
      <c r="BS115" s="15">
        <f>MAX(0,BQ115-BR115)</f>
        <v/>
      </c>
      <c r="BT115" s="15">
        <f>SUMPRODUCT(($B$75:$B$79=A115)*$G$75:$G$79)</f>
        <v/>
      </c>
      <c r="BU115" s="15">
        <f>SUMPRODUCT(($B$75:$B$79=A115)*$H$75:$H$79)</f>
        <v/>
      </c>
      <c r="BV115" s="15">
        <f>SUMPRODUCT(($B$75:$B$79=A115)*$I$75:$I$79)</f>
        <v/>
      </c>
      <c r="BW115" s="15">
        <f>AL115*properties!$C$2*(1+properties!$D$2)^(A115-household!$B$4+1)</f>
        <v/>
      </c>
      <c r="BX115" s="15">
        <f>SUMPRODUCT((1-($B$76:$B$79&gt;0)*(A115&gt;=$B$76:$B$79))*properties!$C$3:$C$6*(1+properties!$D$3:$D$6)^(A115-household!$B$4+1))</f>
        <v/>
      </c>
      <c r="BY115" s="15">
        <f>IF(A115&gt;=$B$31,IF(A115&gt;=$B$32,MAX(household!$B$11*12*(1-$B$28)*O115*IF(A115&gt;=$B$30,1-$B$29,1)*$B$33,0.5*household!$B$12*12*(1-$B$28)*O115*IF(A115&gt;=$B$30,1-$B$29,1)*$B$35),household!$B$11*12*(1-$B$28)*O115*IF(A115&gt;=$B$30,1-$B$29,1)*$B$33),0)</f>
        <v/>
      </c>
      <c r="BZ115" s="15">
        <f>IF(A115&gt;=$B$32,IF(A115&gt;=$B$31,MAX(household!$B$12*12*(1-$B$28)*O115*IF(A115&gt;=$B$30,1-$B$29,1)*$B$34,0.5*household!$B$11*12*(1-$B$28)*O115*IF(A115&gt;=$B$30,1-$B$29,1)*$B$36),household!$B$12*12*(1-$B$28)*O115*IF(A115&gt;=$B$30,1-$B$29,1)*$B$34),0)</f>
        <v/>
      </c>
      <c r="CA115" s="15">
        <f>IF(AND($B$43&lt;&gt;0,A115&gt;=household!$B$6+$B$44),$B$43*(1+$B$18)^(MAX(household!$B$6+$B$44,household!$B$4-1)-household!$B$4+1)*(1+$B$47*$B$18)^(A115-MAX(household!$B$6+$B$44,household!$B$4-1)),0)</f>
        <v/>
      </c>
      <c r="CB115" s="15">
        <f>IF(AND($B$45&lt;&gt;0,A115&gt;=household!$B$9+$B$46),$B$45*(1+$B$18)^(MAX(household!$B$9+$B$46,household!$B$4-1)-household!$B$4+1)*(1+$B$47*$B$18)^(A115-MAX(household!$B$9+$B$46,household!$B$4-1)),0)</f>
        <v/>
      </c>
      <c r="CC115" s="15">
        <f>DC114</f>
        <v/>
      </c>
      <c r="CD115" s="15">
        <f>DD114</f>
        <v/>
      </c>
      <c r="CE115" s="15">
        <f>$B$20*CC115</f>
        <v/>
      </c>
      <c r="CF115" s="15">
        <f>DE114</f>
        <v/>
      </c>
      <c r="CG115" s="15">
        <f>DF114</f>
        <v/>
      </c>
      <c r="CH115" s="15">
        <f>IF(B115&gt;=$B$71,MAX(0,CF115)/INDEX(tax_tables!$Z$5:$Z$53,MATCH(B115,tax_tables!$Y$5:$Y$53,0)),0)</f>
        <v/>
      </c>
      <c r="CI115" s="15">
        <f>IF(C115&gt;=$B$72,MAX(0,CG115)/INDEX(tax_tables!$Z$5:$Z$53,MATCH(C115,tax_tables!$Y$5:$Y$53,0)),0)</f>
        <v/>
      </c>
      <c r="CJ115" s="15">
        <f>DG114</f>
        <v/>
      </c>
      <c r="CK115" s="15">
        <f>IF(OR($B$59="",$B$60=""),0,IF(AND(A115&gt;=$B$59,A115&lt;=$B$60),$B$58*O115,0))</f>
        <v/>
      </c>
      <c r="CL115" s="15">
        <f>MAX(0,CF115*(1+M115)-CH115)</f>
        <v/>
      </c>
      <c r="CM115" s="15">
        <f>MAX(0,CG115*(1+M115)-CI115)</f>
        <v/>
      </c>
      <c r="CN115" s="15">
        <f>EB114-AG114</f>
        <v/>
      </c>
      <c r="CO115" s="15">
        <f>AH115+F115+CA115+CB115+BQ115+CE115+CH115+CI115+BT115+AI115+AJ115+BO115</f>
        <v/>
      </c>
      <c r="CP115" s="15">
        <f>D115+CN115-CO115</f>
        <v/>
      </c>
      <c r="CQ115" s="15">
        <f>MAX(0,MIN(CP115,CC115*(1+M115-$B$20)))</f>
        <v/>
      </c>
      <c r="CR115" s="15">
        <f>MAX(0,MIN(CP115-CQ115,CL115+CM115))</f>
        <v/>
      </c>
      <c r="CS115" s="15">
        <f>IF(CL115+CM115&gt;1,CR115*CL115/(CL115+CM115),0)</f>
        <v/>
      </c>
      <c r="CT115" s="15">
        <f>CR115-CS115</f>
        <v/>
      </c>
      <c r="CU115" s="15">
        <f>MAX(0,MIN(CP115-CQ115-CR115,CJ115*(1+M115)))</f>
        <v/>
      </c>
      <c r="CV115" s="15">
        <f>MAX(0,MIN(CP115-CQ115-CR115-CU115,BN115*(1+M115)-BO115+AC115))</f>
        <v/>
      </c>
      <c r="CW115" s="15">
        <f>MAX(0,-CP115)</f>
        <v/>
      </c>
      <c r="CX115" s="15">
        <f>MIN(CK115,CL115-CS115+CM115-CT115)</f>
        <v/>
      </c>
      <c r="CY115" s="15">
        <f>IF(CL115-CS115+CM115-CT115&gt;1,CX115*(CL115-CS115)/(CL115-CS115+CM115-CT115),0)</f>
        <v/>
      </c>
      <c r="CZ115" s="15">
        <f>CX115-CY115</f>
        <v/>
      </c>
      <c r="DA115" s="22">
        <f>IF(CC115&gt;0,MAX(0,1-CD115/CC115),0)</f>
        <v/>
      </c>
      <c r="DB115" s="15">
        <f>CQ115*DA115</f>
        <v/>
      </c>
      <c r="DC115" s="15">
        <f>CC115*(1+M115-$B$20)-CQ115+CW115</f>
        <v/>
      </c>
      <c r="DD115" s="15">
        <f>CD115-(CQ115-DB115)+CW115</f>
        <v/>
      </c>
      <c r="DE115" s="15">
        <f>CF115*(1+M115)-CH115-CS115-CY115+Y115+AA115</f>
        <v/>
      </c>
      <c r="DF115" s="15">
        <f>CG115*(1+M115)-CI115-CT115-CZ115+Z115+AB115</f>
        <v/>
      </c>
      <c r="DG115" s="15">
        <f>CJ115*(1+M115)-CU115+CX115</f>
        <v/>
      </c>
      <c r="DH115" s="15">
        <f>AE115+CR115+CH115+CI115+CX115+CV115+BS115+AI115+CA115+CB115</f>
        <v/>
      </c>
      <c r="DI115" s="15">
        <f>CE115+DB115+BU115</f>
        <v/>
      </c>
      <c r="DJ115" s="15">
        <f>IF((DH115+DI115+0.5*F115)&lt;=tax_tables!$B$14,0,IF((DH115+DI115+0.5*F115)&lt;=tax_tables!$B$15,MIN(0.5*F115,0.5*((DH115+DI115+0.5*F115)-tax_tables!$B$14)),MIN(0.85*F115,0.85*((DH115+DI115+0.5*F115)-tax_tables!$B$15)+MIN(0.5*F115,tax_tables!$B$15-tax_tables!$B$14))))</f>
        <v/>
      </c>
      <c r="DK115" s="15">
        <f>DH115+DI115+DJ115</f>
        <v/>
      </c>
      <c r="DL115" s="12">
        <f>(B115&gt;=65)+(C115&gt;=65)</f>
        <v/>
      </c>
      <c r="DM115" s="15">
        <f>(tax_tables!$B$5+tax_tables!$B$6*DL115)*P115</f>
        <v/>
      </c>
      <c r="DN115" s="15">
        <f>IF(AND(A115&gt;=tax_tables!$B$8,A115&lt;=tax_tables!$B$9),DL115*MAX(0,tax_tables!$B$7-tax_tables!$B$11*MAX(0,DK115-tax_tables!$B$10)),0)</f>
        <v/>
      </c>
      <c r="DO115" s="15">
        <f>IFERROR(MAX(tax_tables!$B$16,INDEX(tax_tables!$W$5:$W$8,MATCH(A115,tax_tables!$V$5:$V$8,0))-tax_tables!$B$18*MAX(0,DK115-tax_tables!$B$17*1.01^(A115-tax_tables!$B$4))),tax_tables!$B$16)</f>
        <v/>
      </c>
      <c r="DP115" s="15">
        <f>MAX(0,BM115-BB115-tax_tables!$B$23*DK115)</f>
        <v/>
      </c>
      <c r="DQ115" s="15">
        <f>AN115+MIN(DO115,DY114+DZ114+EA114+AL115*properties!$H$2*O115)+DP115+$B$61*O115</f>
        <v/>
      </c>
      <c r="DR115" s="15">
        <f>MAX(DM115,DQ115)</f>
        <v/>
      </c>
      <c r="DS115" s="15">
        <f>MAX(0,DH115+DJ115-DR115-DN115)</f>
        <v/>
      </c>
      <c r="DT115" s="15">
        <f>MAX(0,DI115-MAX(0,DR115+DN115-DH115-DJ115))</f>
        <v/>
      </c>
      <c r="DU115" s="15">
        <f>SUMPRODUCT((DS115&gt;tax_tables!$E$5:$E$16*P115)*(DS115-tax_tables!$E$5:$E$16*P115)*tax_tables!$G$5:$G$16)+SUMPRODUCT(((DS115+DT115)&gt;tax_tables!$I$5:$I$16*P115)*((DS115+DT115)-tax_tables!$I$5:$I$16*P115)*tax_tables!$K$5:$K$16)-SUMPRODUCT((DS115&gt;tax_tables!$I$5:$I$16*P115)*(DS115-tax_tables!$I$5:$I$16*P115)*tax_tables!$K$5:$K$16)+tax_tables!$B$19*BV115+tax_tables!$B$12*MIN(CE115+DB115+BS115+BU115,MAX(0,DK115-tax_tables!$B$13))</f>
        <v/>
      </c>
      <c r="DV115" s="12">
        <f>IF($B$39="",0,IF(A115&gt;=$B$39,1,0))</f>
        <v/>
      </c>
      <c r="DW115" s="15">
        <f>IF(B115+0.5&gt;=tax_tables!$B$30,MIN(CS115+CH115+CY115+CA115,tax_tables!$B$29),0)+IF(C115+0.5&gt;=tax_tables!$B$30,MIN(CT115+CI115+CZ115+CB115,tax_tables!$B$29),0)</f>
        <v/>
      </c>
      <c r="DX115" s="15">
        <f>MAX(0,DK115-tax_tables!$B$28*DJ115-DW115-tax_tables!$B$26*IF(tax_tables!$B$27=1,P115,1))</f>
        <v/>
      </c>
      <c r="DY115" s="15">
        <f>(1-DV115)*SUMPRODUCT((DX115&gt;tax_tables!$M$5:$M$16*IF(tax_tables!$B$27=1,P115,1))*(DX115-tax_tables!$M$5:$M$16*IF(tax_tables!$B$27=1,P115,1))*tax_tables!$O$5:$O$16)</f>
        <v/>
      </c>
      <c r="DZ115" s="15">
        <f>(1-DV115)*tax_tables!$B$31*DX115</f>
        <v/>
      </c>
      <c r="EA115" s="15">
        <f>DV115*$B$40*MAX(0,DK115-DJ115)</f>
        <v/>
      </c>
      <c r="EB115" s="15">
        <f>DU115+DY115+DZ115+EA115</f>
        <v/>
      </c>
      <c r="EC115" s="15">
        <f>DC115+DE115+DF115+DG115+BP115</f>
        <v/>
      </c>
      <c r="ED115" s="15">
        <f>EC115+BW115-AP115+BX115</f>
        <v/>
      </c>
    </row>
    <row r="116">
      <c r="A116" s="12">
        <f>A115+1</f>
        <v/>
      </c>
      <c r="B116" s="12">
        <f>A116-household!$B$6</f>
        <v/>
      </c>
      <c r="C116" s="12">
        <f>A116-household!$B$9</f>
        <v/>
      </c>
      <c r="D116" s="15">
        <f>AS116+AT116+AU116+AV116+AZ116+BM116+AK116</f>
        <v/>
      </c>
      <c r="E116" s="15">
        <f>CN116+AG116+AF116</f>
        <v/>
      </c>
      <c r="F116" s="15">
        <f>BY116+BZ116</f>
        <v/>
      </c>
      <c r="G116" s="15">
        <f>CQ116+CR116+CU116+CH116+CI116+CE116-CW116+CV116+BO116</f>
        <v/>
      </c>
      <c r="H116" s="22">
        <f>IF(CC116+CF116+CG116+CJ116+BN116&lt;=0,"",G116/(CC116+CF116+CG116+CJ116+BN116))</f>
        <v/>
      </c>
      <c r="I116" s="23">
        <f>EC116/O116</f>
        <v/>
      </c>
      <c r="J116" s="23">
        <f>ED116/O116</f>
        <v/>
      </c>
      <c r="K116" s="15">
        <f>MAX(0,CP116-CQ116-CR116-CU116-CV116)</f>
        <v/>
      </c>
      <c r="L116" s="11" t="n"/>
      <c r="M116" s="22">
        <f>IF(L116="",$B$19,L116)</f>
        <v/>
      </c>
      <c r="N116" s="14" t="n"/>
      <c r="O116" s="13">
        <f>(1+$B$18)^(A116-household!$B$4+1)</f>
        <v/>
      </c>
      <c r="P116" s="13">
        <f>(1+$B$18)^(A116-tax_tables!$B$4)</f>
        <v/>
      </c>
      <c r="Q116" s="13">
        <f>(1+$B$21)^(A116-household!$B$4+1)</f>
        <v/>
      </c>
      <c r="R116" s="13">
        <f>(1+$B$22)^(A116-household!$B$4+1)</f>
        <v/>
      </c>
      <c r="S116" s="13">
        <f>(1+$B$23)^(A116-household!$B$4+1)</f>
        <v/>
      </c>
      <c r="T116" s="12">
        <f>IF(A116&lt;$B$5,1,0)</f>
        <v/>
      </c>
      <c r="U116" s="12">
        <f>IF(A116&lt;$B$6,1,0)</f>
        <v/>
      </c>
      <c r="V116" s="12">
        <f>IF(T116+U116&gt;0,1,0)</f>
        <v/>
      </c>
      <c r="W116" s="15">
        <f>T116*$B$7*O116+SUMPRODUCT(($B$83:$B$88=A116)*($D$83:$D$88="Wages: person 1")*$C$83:$C$88)*O116</f>
        <v/>
      </c>
      <c r="X116" s="15">
        <f>U116*$B$8*O116+SUMPRODUCT(($B$83:$B$88=A116)*($D$83:$D$88="Wages: person 2")*$C$83:$C$88)*O116</f>
        <v/>
      </c>
      <c r="Y116" s="15">
        <f>T116*$B$9*O116</f>
        <v/>
      </c>
      <c r="Z116" s="15">
        <f>U116*$B$10*O116</f>
        <v/>
      </c>
      <c r="AA116" s="15">
        <f>T116*$B$11*O116</f>
        <v/>
      </c>
      <c r="AB116" s="15">
        <f>U116*$B$12*O116</f>
        <v/>
      </c>
      <c r="AC116" s="15">
        <f>V116*$B$13*O116</f>
        <v/>
      </c>
      <c r="AD116" s="15">
        <f>W116+X116</f>
        <v/>
      </c>
      <c r="AE116" s="15">
        <f>AD116-Y116-Z116-AC116</f>
        <v/>
      </c>
      <c r="AF116" s="15">
        <f>0.062*MIN(W116,tax_tables!$B$21*P116)+0.062*MIN(X116,tax_tables!$B$21*P116)+0.0145*AD116+0.009*MAX(0,AD116-tax_tables!$B$22)</f>
        <v/>
      </c>
      <c r="AG116" s="15">
        <f>$B$14*AE116</f>
        <v/>
      </c>
      <c r="AH116" s="15">
        <f>AD116-Y116-Z116-AC116-AF116-AG116</f>
        <v/>
      </c>
      <c r="AI116" s="15">
        <f>SUMPRODUCT(($B$83:$B$88=A116)*($D$83:$D$88="Other taxable income")*$C$83:$C$88)*O116</f>
        <v/>
      </c>
      <c r="AJ116" s="15">
        <f>SUMPRODUCT(($B$83:$B$88=A116)*($D$83:$D$88="Tax-free money in")*$C$83:$C$88)*O116</f>
        <v/>
      </c>
      <c r="AK116" s="15">
        <f>SUMPRODUCT(($B$83:$B$88=A116)*($D$83:$D$88="Expense")*$C$83:$C$88)*O116</f>
        <v/>
      </c>
      <c r="AL116" s="12">
        <f>IF(OR($B$75="",A116&lt;$B$75),1,0)</f>
        <v/>
      </c>
      <c r="AM116" s="15">
        <f>AP115</f>
        <v/>
      </c>
      <c r="AN116" s="15">
        <f>AL116*AM116*properties!$J$2</f>
        <v/>
      </c>
      <c r="AO116" s="15">
        <f>AL116*MIN(properties!$K$2,AM116+AN116)</f>
        <v/>
      </c>
      <c r="AP116" s="15">
        <f>AL116*(AM116+AN116-AO116)</f>
        <v/>
      </c>
      <c r="AQ116" s="15">
        <f>AL116*properties!$G$2*O116</f>
        <v/>
      </c>
      <c r="AR116" s="15">
        <f>(1-AL116)*$E$75*O116</f>
        <v/>
      </c>
      <c r="AS116" s="15">
        <f>AO116+AQ116+AR116</f>
        <v/>
      </c>
      <c r="AT116" s="15">
        <f>SUMIF(budget!$A$2:$A$300,"household",budget!$F$2:$F$300)*O116*IF(N116="",1,N116)</f>
        <v/>
      </c>
      <c r="AU116" s="15">
        <f>SUMPRODUCT((other_budget!$C$2:$C$30&lt;=A116)*(other_budget!$D$2:$D$30&gt;=A116)*other_budget!$B$2:$B$30)*O116</f>
        <v/>
      </c>
      <c r="AV116" s="15">
        <f>SUMPRODUCT((kids_budget!$D$2:$D$40&lt;=A116)*(kids_budget!$E$2:$E$40&gt;=A116)*(kids_budget!$G$2:$G$40&lt;&gt;"college_funds")*kids_budget!$C$2:$C$40*((kids_budget!$F$2:$F$40="college")*R116+(kids_budget!$F$2:$F$40&lt;&gt;"college")*O116))</f>
        <v/>
      </c>
      <c r="AW116" s="15">
        <f>SUMPRODUCT((kids_budget!$D$2:$D$40&lt;=A116)*(kids_budget!$E$2:$E$40&gt;=A116)*(kids_budget!$G$2:$G$40="college_funds")*kids_budget!$C$2:$C$40*((kids_budget!$F$2:$F$40="college")*R116+(kids_budget!$F$2:$F$40&lt;&gt;"college")*O116))</f>
        <v/>
      </c>
      <c r="AX116" s="15">
        <f>BA115</f>
        <v/>
      </c>
      <c r="AY116" s="15">
        <f>MIN(AW116,AX116*(1+M116))</f>
        <v/>
      </c>
      <c r="AZ116" s="15">
        <f>AW116-AY116</f>
        <v/>
      </c>
      <c r="BA116" s="15">
        <f>AX116*(1+M116)-AY116</f>
        <v/>
      </c>
      <c r="BB116" s="15">
        <f>V116*healthcare!$B$5*Q116</f>
        <v/>
      </c>
      <c r="BC116" s="12">
        <f>(1-V116)*((B116&lt;65)+(C116&lt;65))</f>
        <v/>
      </c>
      <c r="BD116" s="12">
        <f>COUNTIF(household!$C$16:$C$23,"&gt;="&amp;A116)</f>
        <v/>
      </c>
      <c r="BE116" s="15">
        <f>(BC116*healthcare!$B$2+IF(BC116&gt;0,BD116,0)*healthcare!$B$3)*12*Q116</f>
        <v/>
      </c>
      <c r="BF116" s="15">
        <f>IF(BC116&gt;0,(BC116+BD116)*healthcare!$B$4*Q116,0)</f>
        <v/>
      </c>
      <c r="BG116" s="12">
        <f>(B116&gt;=65)+(C116&gt;=65)</f>
        <v/>
      </c>
      <c r="BH116" s="15">
        <f>BG116*(healthcare!$B$6+healthcare!$B$7+healthcare!$B$8)*12*Q116</f>
        <v/>
      </c>
      <c r="BI116" s="15">
        <f>BG116*healthcare!$B$9*Q116</f>
        <v/>
      </c>
      <c r="BJ116" s="15">
        <f>BG116*12*O116*SUMPRODUCT((DK114&gt;tax_tables!$Q$5:$Q$9*P116)*tax_tables!$T$5:$T$9)</f>
        <v/>
      </c>
      <c r="BK116" s="12">
        <f>AND(B116&gt;=$B$51,B116&lt;$B$51+$B$52)*1+AND(C116&gt;=$B$53,C116&lt;$B$53+$B$54)*1</f>
        <v/>
      </c>
      <c r="BL116" s="15">
        <f>BK116*$B$55*S116</f>
        <v/>
      </c>
      <c r="BM116" s="15">
        <f>BB116+BE116+BF116+BH116+BI116+BJ116+BL116</f>
        <v/>
      </c>
      <c r="BN116" s="15">
        <f>BP115</f>
        <v/>
      </c>
      <c r="BO116" s="15">
        <f>IF(V116=1,0,MIN(BN116*(1+M116),BF116+BG116*(healthcare!$B$6+healthcare!$B$7)*12*Q116+BI116+BJ116+BL116))</f>
        <v/>
      </c>
      <c r="BP116" s="15">
        <f>BN116*(1+M116)-BO116+AC116-CV116</f>
        <v/>
      </c>
      <c r="BQ116" s="15">
        <f>SUMPRODUCT((1-($B$76:$B$79&gt;0)*(A116&gt;=$B$76:$B$79))*(1-(($C$76:$C$79&gt;0)*(A116&gt;=$C$76:$C$79)))*(properties!$L$3:$L$6-properties!$M$3:$M$6))*O116+SUMPRODUCT((1-($B$76:$B$79&gt;0)*(A116&gt;=$B$76:$B$79))*(($C$76:$C$79&gt;0)*(A116&gt;=$C$76:$C$79))*($D$76:$D$79-$E$76:$E$79))*O116</f>
        <v/>
      </c>
      <c r="BR116" s="15">
        <f>SUMPRODUCT((1-($B$76:$B$79&gt;0)*(A116&gt;=$B$76:$B$79))*properties!$N$3:$N$6*(A116&lt;=properties!$O$3:$O$6))</f>
        <v/>
      </c>
      <c r="BS116" s="15">
        <f>MAX(0,BQ116-BR116)</f>
        <v/>
      </c>
      <c r="BT116" s="15">
        <f>SUMPRODUCT(($B$75:$B$79=A116)*$G$75:$G$79)</f>
        <v/>
      </c>
      <c r="BU116" s="15">
        <f>SUMPRODUCT(($B$75:$B$79=A116)*$H$75:$H$79)</f>
        <v/>
      </c>
      <c r="BV116" s="15">
        <f>SUMPRODUCT(($B$75:$B$79=A116)*$I$75:$I$79)</f>
        <v/>
      </c>
      <c r="BW116" s="15">
        <f>AL116*properties!$C$2*(1+properties!$D$2)^(A116-household!$B$4+1)</f>
        <v/>
      </c>
      <c r="BX116" s="15">
        <f>SUMPRODUCT((1-($B$76:$B$79&gt;0)*(A116&gt;=$B$76:$B$79))*properties!$C$3:$C$6*(1+properties!$D$3:$D$6)^(A116-household!$B$4+1))</f>
        <v/>
      </c>
      <c r="BY116" s="15">
        <f>IF(A116&gt;=$B$31,IF(A116&gt;=$B$32,MAX(household!$B$11*12*(1-$B$28)*O116*IF(A116&gt;=$B$30,1-$B$29,1)*$B$33,0.5*household!$B$12*12*(1-$B$28)*O116*IF(A116&gt;=$B$30,1-$B$29,1)*$B$35),household!$B$11*12*(1-$B$28)*O116*IF(A116&gt;=$B$30,1-$B$29,1)*$B$33),0)</f>
        <v/>
      </c>
      <c r="BZ116" s="15">
        <f>IF(A116&gt;=$B$32,IF(A116&gt;=$B$31,MAX(household!$B$12*12*(1-$B$28)*O116*IF(A116&gt;=$B$30,1-$B$29,1)*$B$34,0.5*household!$B$11*12*(1-$B$28)*O116*IF(A116&gt;=$B$30,1-$B$29,1)*$B$36),household!$B$12*12*(1-$B$28)*O116*IF(A116&gt;=$B$30,1-$B$29,1)*$B$34),0)</f>
        <v/>
      </c>
      <c r="CA116" s="15">
        <f>IF(AND($B$43&lt;&gt;0,A116&gt;=household!$B$6+$B$44),$B$43*(1+$B$18)^(MAX(household!$B$6+$B$44,household!$B$4-1)-household!$B$4+1)*(1+$B$47*$B$18)^(A116-MAX(household!$B$6+$B$44,household!$B$4-1)),0)</f>
        <v/>
      </c>
      <c r="CB116" s="15">
        <f>IF(AND($B$45&lt;&gt;0,A116&gt;=household!$B$9+$B$46),$B$45*(1+$B$18)^(MAX(household!$B$9+$B$46,household!$B$4-1)-household!$B$4+1)*(1+$B$47*$B$18)^(A116-MAX(household!$B$9+$B$46,household!$B$4-1)),0)</f>
        <v/>
      </c>
      <c r="CC116" s="15">
        <f>DC115</f>
        <v/>
      </c>
      <c r="CD116" s="15">
        <f>DD115</f>
        <v/>
      </c>
      <c r="CE116" s="15">
        <f>$B$20*CC116</f>
        <v/>
      </c>
      <c r="CF116" s="15">
        <f>DE115</f>
        <v/>
      </c>
      <c r="CG116" s="15">
        <f>DF115</f>
        <v/>
      </c>
      <c r="CH116" s="15">
        <f>IF(B116&gt;=$B$71,MAX(0,CF116)/INDEX(tax_tables!$Z$5:$Z$53,MATCH(B116,tax_tables!$Y$5:$Y$53,0)),0)</f>
        <v/>
      </c>
      <c r="CI116" s="15">
        <f>IF(C116&gt;=$B$72,MAX(0,CG116)/INDEX(tax_tables!$Z$5:$Z$53,MATCH(C116,tax_tables!$Y$5:$Y$53,0)),0)</f>
        <v/>
      </c>
      <c r="CJ116" s="15">
        <f>DG115</f>
        <v/>
      </c>
      <c r="CK116" s="15">
        <f>IF(OR($B$59="",$B$60=""),0,IF(AND(A116&gt;=$B$59,A116&lt;=$B$60),$B$58*O116,0))</f>
        <v/>
      </c>
      <c r="CL116" s="15">
        <f>MAX(0,CF116*(1+M116)-CH116)</f>
        <v/>
      </c>
      <c r="CM116" s="15">
        <f>MAX(0,CG116*(1+M116)-CI116)</f>
        <v/>
      </c>
      <c r="CN116" s="15">
        <f>EB115-AG115</f>
        <v/>
      </c>
      <c r="CO116" s="15">
        <f>AH116+F116+CA116+CB116+BQ116+CE116+CH116+CI116+BT116+AI116+AJ116+BO116</f>
        <v/>
      </c>
      <c r="CP116" s="15">
        <f>D116+CN116-CO116</f>
        <v/>
      </c>
      <c r="CQ116" s="15">
        <f>MAX(0,MIN(CP116,CC116*(1+M116-$B$20)))</f>
        <v/>
      </c>
      <c r="CR116" s="15">
        <f>MAX(0,MIN(CP116-CQ116,CL116+CM116))</f>
        <v/>
      </c>
      <c r="CS116" s="15">
        <f>IF(CL116+CM116&gt;1,CR116*CL116/(CL116+CM116),0)</f>
        <v/>
      </c>
      <c r="CT116" s="15">
        <f>CR116-CS116</f>
        <v/>
      </c>
      <c r="CU116" s="15">
        <f>MAX(0,MIN(CP116-CQ116-CR116,CJ116*(1+M116)))</f>
        <v/>
      </c>
      <c r="CV116" s="15">
        <f>MAX(0,MIN(CP116-CQ116-CR116-CU116,BN116*(1+M116)-BO116+AC116))</f>
        <v/>
      </c>
      <c r="CW116" s="15">
        <f>MAX(0,-CP116)</f>
        <v/>
      </c>
      <c r="CX116" s="15">
        <f>MIN(CK116,CL116-CS116+CM116-CT116)</f>
        <v/>
      </c>
      <c r="CY116" s="15">
        <f>IF(CL116-CS116+CM116-CT116&gt;1,CX116*(CL116-CS116)/(CL116-CS116+CM116-CT116),0)</f>
        <v/>
      </c>
      <c r="CZ116" s="15">
        <f>CX116-CY116</f>
        <v/>
      </c>
      <c r="DA116" s="22">
        <f>IF(CC116&gt;0,MAX(0,1-CD116/CC116),0)</f>
        <v/>
      </c>
      <c r="DB116" s="15">
        <f>CQ116*DA116</f>
        <v/>
      </c>
      <c r="DC116" s="15">
        <f>CC116*(1+M116-$B$20)-CQ116+CW116</f>
        <v/>
      </c>
      <c r="DD116" s="15">
        <f>CD116-(CQ116-DB116)+CW116</f>
        <v/>
      </c>
      <c r="DE116" s="15">
        <f>CF116*(1+M116)-CH116-CS116-CY116+Y116+AA116</f>
        <v/>
      </c>
      <c r="DF116" s="15">
        <f>CG116*(1+M116)-CI116-CT116-CZ116+Z116+AB116</f>
        <v/>
      </c>
      <c r="DG116" s="15">
        <f>CJ116*(1+M116)-CU116+CX116</f>
        <v/>
      </c>
      <c r="DH116" s="15">
        <f>AE116+CR116+CH116+CI116+CX116+CV116+BS116+AI116+CA116+CB116</f>
        <v/>
      </c>
      <c r="DI116" s="15">
        <f>CE116+DB116+BU116</f>
        <v/>
      </c>
      <c r="DJ116" s="15">
        <f>IF((DH116+DI116+0.5*F116)&lt;=tax_tables!$B$14,0,IF((DH116+DI116+0.5*F116)&lt;=tax_tables!$B$15,MIN(0.5*F116,0.5*((DH116+DI116+0.5*F116)-tax_tables!$B$14)),MIN(0.85*F116,0.85*((DH116+DI116+0.5*F116)-tax_tables!$B$15)+MIN(0.5*F116,tax_tables!$B$15-tax_tables!$B$14))))</f>
        <v/>
      </c>
      <c r="DK116" s="15">
        <f>DH116+DI116+DJ116</f>
        <v/>
      </c>
      <c r="DL116" s="12">
        <f>(B116&gt;=65)+(C116&gt;=65)</f>
        <v/>
      </c>
      <c r="DM116" s="15">
        <f>(tax_tables!$B$5+tax_tables!$B$6*DL116)*P116</f>
        <v/>
      </c>
      <c r="DN116" s="15">
        <f>IF(AND(A116&gt;=tax_tables!$B$8,A116&lt;=tax_tables!$B$9),DL116*MAX(0,tax_tables!$B$7-tax_tables!$B$11*MAX(0,DK116-tax_tables!$B$10)),0)</f>
        <v/>
      </c>
      <c r="DO116" s="15">
        <f>IFERROR(MAX(tax_tables!$B$16,INDEX(tax_tables!$W$5:$W$8,MATCH(A116,tax_tables!$V$5:$V$8,0))-tax_tables!$B$18*MAX(0,DK116-tax_tables!$B$17*1.01^(A116-tax_tables!$B$4))),tax_tables!$B$16)</f>
        <v/>
      </c>
      <c r="DP116" s="15">
        <f>MAX(0,BM116-BB116-tax_tables!$B$23*DK116)</f>
        <v/>
      </c>
      <c r="DQ116" s="15">
        <f>AN116+MIN(DO116,DY115+DZ115+EA115+AL116*properties!$H$2*O116)+DP116+$B$61*O116</f>
        <v/>
      </c>
      <c r="DR116" s="15">
        <f>MAX(DM116,DQ116)</f>
        <v/>
      </c>
      <c r="DS116" s="15">
        <f>MAX(0,DH116+DJ116-DR116-DN116)</f>
        <v/>
      </c>
      <c r="DT116" s="15">
        <f>MAX(0,DI116-MAX(0,DR116+DN116-DH116-DJ116))</f>
        <v/>
      </c>
      <c r="DU116" s="15">
        <f>SUMPRODUCT((DS116&gt;tax_tables!$E$5:$E$16*P116)*(DS116-tax_tables!$E$5:$E$16*P116)*tax_tables!$G$5:$G$16)+SUMPRODUCT(((DS116+DT116)&gt;tax_tables!$I$5:$I$16*P116)*((DS116+DT116)-tax_tables!$I$5:$I$16*P116)*tax_tables!$K$5:$K$16)-SUMPRODUCT((DS116&gt;tax_tables!$I$5:$I$16*P116)*(DS116-tax_tables!$I$5:$I$16*P116)*tax_tables!$K$5:$K$16)+tax_tables!$B$19*BV116+tax_tables!$B$12*MIN(CE116+DB116+BS116+BU116,MAX(0,DK116-tax_tables!$B$13))</f>
        <v/>
      </c>
      <c r="DV116" s="12">
        <f>IF($B$39="",0,IF(A116&gt;=$B$39,1,0))</f>
        <v/>
      </c>
      <c r="DW116" s="15">
        <f>IF(B116+0.5&gt;=tax_tables!$B$30,MIN(CS116+CH116+CY116+CA116,tax_tables!$B$29),0)+IF(C116+0.5&gt;=tax_tables!$B$30,MIN(CT116+CI116+CZ116+CB116,tax_tables!$B$29),0)</f>
        <v/>
      </c>
      <c r="DX116" s="15">
        <f>MAX(0,DK116-tax_tables!$B$28*DJ116-DW116-tax_tables!$B$26*IF(tax_tables!$B$27=1,P116,1))</f>
        <v/>
      </c>
      <c r="DY116" s="15">
        <f>(1-DV116)*SUMPRODUCT((DX116&gt;tax_tables!$M$5:$M$16*IF(tax_tables!$B$27=1,P116,1))*(DX116-tax_tables!$M$5:$M$16*IF(tax_tables!$B$27=1,P116,1))*tax_tables!$O$5:$O$16)</f>
        <v/>
      </c>
      <c r="DZ116" s="15">
        <f>(1-DV116)*tax_tables!$B$31*DX116</f>
        <v/>
      </c>
      <c r="EA116" s="15">
        <f>DV116*$B$40*MAX(0,DK116-DJ116)</f>
        <v/>
      </c>
      <c r="EB116" s="15">
        <f>DU116+DY116+DZ116+EA116</f>
        <v/>
      </c>
      <c r="EC116" s="15">
        <f>DC116+DE116+DF116+DG116+BP116</f>
        <v/>
      </c>
      <c r="ED116" s="15">
        <f>EC116+BW116-AP116+BX116</f>
        <v/>
      </c>
    </row>
    <row r="117">
      <c r="A117" s="12">
        <f>A116+1</f>
        <v/>
      </c>
      <c r="B117" s="12">
        <f>A117-household!$B$6</f>
        <v/>
      </c>
      <c r="C117" s="12">
        <f>A117-household!$B$9</f>
        <v/>
      </c>
      <c r="D117" s="15">
        <f>AS117+AT117+AU117+AV117+AZ117+BM117+AK117</f>
        <v/>
      </c>
      <c r="E117" s="15">
        <f>CN117+AG117+AF117</f>
        <v/>
      </c>
      <c r="F117" s="15">
        <f>BY117+BZ117</f>
        <v/>
      </c>
      <c r="G117" s="15">
        <f>CQ117+CR117+CU117+CH117+CI117+CE117-CW117+CV117+BO117</f>
        <v/>
      </c>
      <c r="H117" s="22">
        <f>IF(CC117+CF117+CG117+CJ117+BN117&lt;=0,"",G117/(CC117+CF117+CG117+CJ117+BN117))</f>
        <v/>
      </c>
      <c r="I117" s="23">
        <f>EC117/O117</f>
        <v/>
      </c>
      <c r="J117" s="23">
        <f>ED117/O117</f>
        <v/>
      </c>
      <c r="K117" s="15">
        <f>MAX(0,CP117-CQ117-CR117-CU117-CV117)</f>
        <v/>
      </c>
      <c r="L117" s="11" t="n"/>
      <c r="M117" s="22">
        <f>IF(L117="",$B$19,L117)</f>
        <v/>
      </c>
      <c r="N117" s="14" t="n"/>
      <c r="O117" s="13">
        <f>(1+$B$18)^(A117-household!$B$4+1)</f>
        <v/>
      </c>
      <c r="P117" s="13">
        <f>(1+$B$18)^(A117-tax_tables!$B$4)</f>
        <v/>
      </c>
      <c r="Q117" s="13">
        <f>(1+$B$21)^(A117-household!$B$4+1)</f>
        <v/>
      </c>
      <c r="R117" s="13">
        <f>(1+$B$22)^(A117-household!$B$4+1)</f>
        <v/>
      </c>
      <c r="S117" s="13">
        <f>(1+$B$23)^(A117-household!$B$4+1)</f>
        <v/>
      </c>
      <c r="T117" s="12">
        <f>IF(A117&lt;$B$5,1,0)</f>
        <v/>
      </c>
      <c r="U117" s="12">
        <f>IF(A117&lt;$B$6,1,0)</f>
        <v/>
      </c>
      <c r="V117" s="12">
        <f>IF(T117+U117&gt;0,1,0)</f>
        <v/>
      </c>
      <c r="W117" s="15">
        <f>T117*$B$7*O117+SUMPRODUCT(($B$83:$B$88=A117)*($D$83:$D$88="Wages: person 1")*$C$83:$C$88)*O117</f>
        <v/>
      </c>
      <c r="X117" s="15">
        <f>U117*$B$8*O117+SUMPRODUCT(($B$83:$B$88=A117)*($D$83:$D$88="Wages: person 2")*$C$83:$C$88)*O117</f>
        <v/>
      </c>
      <c r="Y117" s="15">
        <f>T117*$B$9*O117</f>
        <v/>
      </c>
      <c r="Z117" s="15">
        <f>U117*$B$10*O117</f>
        <v/>
      </c>
      <c r="AA117" s="15">
        <f>T117*$B$11*O117</f>
        <v/>
      </c>
      <c r="AB117" s="15">
        <f>U117*$B$12*O117</f>
        <v/>
      </c>
      <c r="AC117" s="15">
        <f>V117*$B$13*O117</f>
        <v/>
      </c>
      <c r="AD117" s="15">
        <f>W117+X117</f>
        <v/>
      </c>
      <c r="AE117" s="15">
        <f>AD117-Y117-Z117-AC117</f>
        <v/>
      </c>
      <c r="AF117" s="15">
        <f>0.062*MIN(W117,tax_tables!$B$21*P117)+0.062*MIN(X117,tax_tables!$B$21*P117)+0.0145*AD117+0.009*MAX(0,AD117-tax_tables!$B$22)</f>
        <v/>
      </c>
      <c r="AG117" s="15">
        <f>$B$14*AE117</f>
        <v/>
      </c>
      <c r="AH117" s="15">
        <f>AD117-Y117-Z117-AC117-AF117-AG117</f>
        <v/>
      </c>
      <c r="AI117" s="15">
        <f>SUMPRODUCT(($B$83:$B$88=A117)*($D$83:$D$88="Other taxable income")*$C$83:$C$88)*O117</f>
        <v/>
      </c>
      <c r="AJ117" s="15">
        <f>SUMPRODUCT(($B$83:$B$88=A117)*($D$83:$D$88="Tax-free money in")*$C$83:$C$88)*O117</f>
        <v/>
      </c>
      <c r="AK117" s="15">
        <f>SUMPRODUCT(($B$83:$B$88=A117)*($D$83:$D$88="Expense")*$C$83:$C$88)*O117</f>
        <v/>
      </c>
      <c r="AL117" s="12">
        <f>IF(OR($B$75="",A117&lt;$B$75),1,0)</f>
        <v/>
      </c>
      <c r="AM117" s="15">
        <f>AP116</f>
        <v/>
      </c>
      <c r="AN117" s="15">
        <f>AL117*AM117*properties!$J$2</f>
        <v/>
      </c>
      <c r="AO117" s="15">
        <f>AL117*MIN(properties!$K$2,AM117+AN117)</f>
        <v/>
      </c>
      <c r="AP117" s="15">
        <f>AL117*(AM117+AN117-AO117)</f>
        <v/>
      </c>
      <c r="AQ117" s="15">
        <f>AL117*properties!$G$2*O117</f>
        <v/>
      </c>
      <c r="AR117" s="15">
        <f>(1-AL117)*$E$75*O117</f>
        <v/>
      </c>
      <c r="AS117" s="15">
        <f>AO117+AQ117+AR117</f>
        <v/>
      </c>
      <c r="AT117" s="15">
        <f>SUMIF(budget!$A$2:$A$300,"household",budget!$F$2:$F$300)*O117*IF(N117="",1,N117)</f>
        <v/>
      </c>
      <c r="AU117" s="15">
        <f>SUMPRODUCT((other_budget!$C$2:$C$30&lt;=A117)*(other_budget!$D$2:$D$30&gt;=A117)*other_budget!$B$2:$B$30)*O117</f>
        <v/>
      </c>
      <c r="AV117" s="15">
        <f>SUMPRODUCT((kids_budget!$D$2:$D$40&lt;=A117)*(kids_budget!$E$2:$E$40&gt;=A117)*(kids_budget!$G$2:$G$40&lt;&gt;"college_funds")*kids_budget!$C$2:$C$40*((kids_budget!$F$2:$F$40="college")*R117+(kids_budget!$F$2:$F$40&lt;&gt;"college")*O117))</f>
        <v/>
      </c>
      <c r="AW117" s="15">
        <f>SUMPRODUCT((kids_budget!$D$2:$D$40&lt;=A117)*(kids_budget!$E$2:$E$40&gt;=A117)*(kids_budget!$G$2:$G$40="college_funds")*kids_budget!$C$2:$C$40*((kids_budget!$F$2:$F$40="college")*R117+(kids_budget!$F$2:$F$40&lt;&gt;"college")*O117))</f>
        <v/>
      </c>
      <c r="AX117" s="15">
        <f>BA116</f>
        <v/>
      </c>
      <c r="AY117" s="15">
        <f>MIN(AW117,AX117*(1+M117))</f>
        <v/>
      </c>
      <c r="AZ117" s="15">
        <f>AW117-AY117</f>
        <v/>
      </c>
      <c r="BA117" s="15">
        <f>AX117*(1+M117)-AY117</f>
        <v/>
      </c>
      <c r="BB117" s="15">
        <f>V117*healthcare!$B$5*Q117</f>
        <v/>
      </c>
      <c r="BC117" s="12">
        <f>(1-V117)*((B117&lt;65)+(C117&lt;65))</f>
        <v/>
      </c>
      <c r="BD117" s="12">
        <f>COUNTIF(household!$C$16:$C$23,"&gt;="&amp;A117)</f>
        <v/>
      </c>
      <c r="BE117" s="15">
        <f>(BC117*healthcare!$B$2+IF(BC117&gt;0,BD117,0)*healthcare!$B$3)*12*Q117</f>
        <v/>
      </c>
      <c r="BF117" s="15">
        <f>IF(BC117&gt;0,(BC117+BD117)*healthcare!$B$4*Q117,0)</f>
        <v/>
      </c>
      <c r="BG117" s="12">
        <f>(B117&gt;=65)+(C117&gt;=65)</f>
        <v/>
      </c>
      <c r="BH117" s="15">
        <f>BG117*(healthcare!$B$6+healthcare!$B$7+healthcare!$B$8)*12*Q117</f>
        <v/>
      </c>
      <c r="BI117" s="15">
        <f>BG117*healthcare!$B$9*Q117</f>
        <v/>
      </c>
      <c r="BJ117" s="15">
        <f>BG117*12*O117*SUMPRODUCT((DK115&gt;tax_tables!$Q$5:$Q$9*P117)*tax_tables!$T$5:$T$9)</f>
        <v/>
      </c>
      <c r="BK117" s="12">
        <f>AND(B117&gt;=$B$51,B117&lt;$B$51+$B$52)*1+AND(C117&gt;=$B$53,C117&lt;$B$53+$B$54)*1</f>
        <v/>
      </c>
      <c r="BL117" s="15">
        <f>BK117*$B$55*S117</f>
        <v/>
      </c>
      <c r="BM117" s="15">
        <f>BB117+BE117+BF117+BH117+BI117+BJ117+BL117</f>
        <v/>
      </c>
      <c r="BN117" s="15">
        <f>BP116</f>
        <v/>
      </c>
      <c r="BO117" s="15">
        <f>IF(V117=1,0,MIN(BN117*(1+M117),BF117+BG117*(healthcare!$B$6+healthcare!$B$7)*12*Q117+BI117+BJ117+BL117))</f>
        <v/>
      </c>
      <c r="BP117" s="15">
        <f>BN117*(1+M117)-BO117+AC117-CV117</f>
        <v/>
      </c>
      <c r="BQ117" s="15">
        <f>SUMPRODUCT((1-($B$76:$B$79&gt;0)*(A117&gt;=$B$76:$B$79))*(1-(($C$76:$C$79&gt;0)*(A117&gt;=$C$76:$C$79)))*(properties!$L$3:$L$6-properties!$M$3:$M$6))*O117+SUMPRODUCT((1-($B$76:$B$79&gt;0)*(A117&gt;=$B$76:$B$79))*(($C$76:$C$79&gt;0)*(A117&gt;=$C$76:$C$79))*($D$76:$D$79-$E$76:$E$79))*O117</f>
        <v/>
      </c>
      <c r="BR117" s="15">
        <f>SUMPRODUCT((1-($B$76:$B$79&gt;0)*(A117&gt;=$B$76:$B$79))*properties!$N$3:$N$6*(A117&lt;=properties!$O$3:$O$6))</f>
        <v/>
      </c>
      <c r="BS117" s="15">
        <f>MAX(0,BQ117-BR117)</f>
        <v/>
      </c>
      <c r="BT117" s="15">
        <f>SUMPRODUCT(($B$75:$B$79=A117)*$G$75:$G$79)</f>
        <v/>
      </c>
      <c r="BU117" s="15">
        <f>SUMPRODUCT(($B$75:$B$79=A117)*$H$75:$H$79)</f>
        <v/>
      </c>
      <c r="BV117" s="15">
        <f>SUMPRODUCT(($B$75:$B$79=A117)*$I$75:$I$79)</f>
        <v/>
      </c>
      <c r="BW117" s="15">
        <f>AL117*properties!$C$2*(1+properties!$D$2)^(A117-household!$B$4+1)</f>
        <v/>
      </c>
      <c r="BX117" s="15">
        <f>SUMPRODUCT((1-($B$76:$B$79&gt;0)*(A117&gt;=$B$76:$B$79))*properties!$C$3:$C$6*(1+properties!$D$3:$D$6)^(A117-household!$B$4+1))</f>
        <v/>
      </c>
      <c r="BY117" s="15">
        <f>IF(A117&gt;=$B$31,IF(A117&gt;=$B$32,MAX(household!$B$11*12*(1-$B$28)*O117*IF(A117&gt;=$B$30,1-$B$29,1)*$B$33,0.5*household!$B$12*12*(1-$B$28)*O117*IF(A117&gt;=$B$30,1-$B$29,1)*$B$35),household!$B$11*12*(1-$B$28)*O117*IF(A117&gt;=$B$30,1-$B$29,1)*$B$33),0)</f>
        <v/>
      </c>
      <c r="BZ117" s="15">
        <f>IF(A117&gt;=$B$32,IF(A117&gt;=$B$31,MAX(household!$B$12*12*(1-$B$28)*O117*IF(A117&gt;=$B$30,1-$B$29,1)*$B$34,0.5*household!$B$11*12*(1-$B$28)*O117*IF(A117&gt;=$B$30,1-$B$29,1)*$B$36),household!$B$12*12*(1-$B$28)*O117*IF(A117&gt;=$B$30,1-$B$29,1)*$B$34),0)</f>
        <v/>
      </c>
      <c r="CA117" s="15">
        <f>IF(AND($B$43&lt;&gt;0,A117&gt;=household!$B$6+$B$44),$B$43*(1+$B$18)^(MAX(household!$B$6+$B$44,household!$B$4-1)-household!$B$4+1)*(1+$B$47*$B$18)^(A117-MAX(household!$B$6+$B$44,household!$B$4-1)),0)</f>
        <v/>
      </c>
      <c r="CB117" s="15">
        <f>IF(AND($B$45&lt;&gt;0,A117&gt;=household!$B$9+$B$46),$B$45*(1+$B$18)^(MAX(household!$B$9+$B$46,household!$B$4-1)-household!$B$4+1)*(1+$B$47*$B$18)^(A117-MAX(household!$B$9+$B$46,household!$B$4-1)),0)</f>
        <v/>
      </c>
      <c r="CC117" s="15">
        <f>DC116</f>
        <v/>
      </c>
      <c r="CD117" s="15">
        <f>DD116</f>
        <v/>
      </c>
      <c r="CE117" s="15">
        <f>$B$20*CC117</f>
        <v/>
      </c>
      <c r="CF117" s="15">
        <f>DE116</f>
        <v/>
      </c>
      <c r="CG117" s="15">
        <f>DF116</f>
        <v/>
      </c>
      <c r="CH117" s="15">
        <f>IF(B117&gt;=$B$71,MAX(0,CF117)/INDEX(tax_tables!$Z$5:$Z$53,MATCH(B117,tax_tables!$Y$5:$Y$53,0)),0)</f>
        <v/>
      </c>
      <c r="CI117" s="15">
        <f>IF(C117&gt;=$B$72,MAX(0,CG117)/INDEX(tax_tables!$Z$5:$Z$53,MATCH(C117,tax_tables!$Y$5:$Y$53,0)),0)</f>
        <v/>
      </c>
      <c r="CJ117" s="15">
        <f>DG116</f>
        <v/>
      </c>
      <c r="CK117" s="15">
        <f>IF(OR($B$59="",$B$60=""),0,IF(AND(A117&gt;=$B$59,A117&lt;=$B$60),$B$58*O117,0))</f>
        <v/>
      </c>
      <c r="CL117" s="15">
        <f>MAX(0,CF117*(1+M117)-CH117)</f>
        <v/>
      </c>
      <c r="CM117" s="15">
        <f>MAX(0,CG117*(1+M117)-CI117)</f>
        <v/>
      </c>
      <c r="CN117" s="15">
        <f>EB116-AG116</f>
        <v/>
      </c>
      <c r="CO117" s="15">
        <f>AH117+F117+CA117+CB117+BQ117+CE117+CH117+CI117+BT117+AI117+AJ117+BO117</f>
        <v/>
      </c>
      <c r="CP117" s="15">
        <f>D117+CN117-CO117</f>
        <v/>
      </c>
      <c r="CQ117" s="15">
        <f>MAX(0,MIN(CP117,CC117*(1+M117-$B$20)))</f>
        <v/>
      </c>
      <c r="CR117" s="15">
        <f>MAX(0,MIN(CP117-CQ117,CL117+CM117))</f>
        <v/>
      </c>
      <c r="CS117" s="15">
        <f>IF(CL117+CM117&gt;1,CR117*CL117/(CL117+CM117),0)</f>
        <v/>
      </c>
      <c r="CT117" s="15">
        <f>CR117-CS117</f>
        <v/>
      </c>
      <c r="CU117" s="15">
        <f>MAX(0,MIN(CP117-CQ117-CR117,CJ117*(1+M117)))</f>
        <v/>
      </c>
      <c r="CV117" s="15">
        <f>MAX(0,MIN(CP117-CQ117-CR117-CU117,BN117*(1+M117)-BO117+AC117))</f>
        <v/>
      </c>
      <c r="CW117" s="15">
        <f>MAX(0,-CP117)</f>
        <v/>
      </c>
      <c r="CX117" s="15">
        <f>MIN(CK117,CL117-CS117+CM117-CT117)</f>
        <v/>
      </c>
      <c r="CY117" s="15">
        <f>IF(CL117-CS117+CM117-CT117&gt;1,CX117*(CL117-CS117)/(CL117-CS117+CM117-CT117),0)</f>
        <v/>
      </c>
      <c r="CZ117" s="15">
        <f>CX117-CY117</f>
        <v/>
      </c>
      <c r="DA117" s="22">
        <f>IF(CC117&gt;0,MAX(0,1-CD117/CC117),0)</f>
        <v/>
      </c>
      <c r="DB117" s="15">
        <f>CQ117*DA117</f>
        <v/>
      </c>
      <c r="DC117" s="15">
        <f>CC117*(1+M117-$B$20)-CQ117+CW117</f>
        <v/>
      </c>
      <c r="DD117" s="15">
        <f>CD117-(CQ117-DB117)+CW117</f>
        <v/>
      </c>
      <c r="DE117" s="15">
        <f>CF117*(1+M117)-CH117-CS117-CY117+Y117+AA117</f>
        <v/>
      </c>
      <c r="DF117" s="15">
        <f>CG117*(1+M117)-CI117-CT117-CZ117+Z117+AB117</f>
        <v/>
      </c>
      <c r="DG117" s="15">
        <f>CJ117*(1+M117)-CU117+CX117</f>
        <v/>
      </c>
      <c r="DH117" s="15">
        <f>AE117+CR117+CH117+CI117+CX117+CV117+BS117+AI117+CA117+CB117</f>
        <v/>
      </c>
      <c r="DI117" s="15">
        <f>CE117+DB117+BU117</f>
        <v/>
      </c>
      <c r="DJ117" s="15">
        <f>IF((DH117+DI117+0.5*F117)&lt;=tax_tables!$B$14,0,IF((DH117+DI117+0.5*F117)&lt;=tax_tables!$B$15,MIN(0.5*F117,0.5*((DH117+DI117+0.5*F117)-tax_tables!$B$14)),MIN(0.85*F117,0.85*((DH117+DI117+0.5*F117)-tax_tables!$B$15)+MIN(0.5*F117,tax_tables!$B$15-tax_tables!$B$14))))</f>
        <v/>
      </c>
      <c r="DK117" s="15">
        <f>DH117+DI117+DJ117</f>
        <v/>
      </c>
      <c r="DL117" s="12">
        <f>(B117&gt;=65)+(C117&gt;=65)</f>
        <v/>
      </c>
      <c r="DM117" s="15">
        <f>(tax_tables!$B$5+tax_tables!$B$6*DL117)*P117</f>
        <v/>
      </c>
      <c r="DN117" s="15">
        <f>IF(AND(A117&gt;=tax_tables!$B$8,A117&lt;=tax_tables!$B$9),DL117*MAX(0,tax_tables!$B$7-tax_tables!$B$11*MAX(0,DK117-tax_tables!$B$10)),0)</f>
        <v/>
      </c>
      <c r="DO117" s="15">
        <f>IFERROR(MAX(tax_tables!$B$16,INDEX(tax_tables!$W$5:$W$8,MATCH(A117,tax_tables!$V$5:$V$8,0))-tax_tables!$B$18*MAX(0,DK117-tax_tables!$B$17*1.01^(A117-tax_tables!$B$4))),tax_tables!$B$16)</f>
        <v/>
      </c>
      <c r="DP117" s="15">
        <f>MAX(0,BM117-BB117-tax_tables!$B$23*DK117)</f>
        <v/>
      </c>
      <c r="DQ117" s="15">
        <f>AN117+MIN(DO117,DY116+DZ116+EA116+AL117*properties!$H$2*O117)+DP117+$B$61*O117</f>
        <v/>
      </c>
      <c r="DR117" s="15">
        <f>MAX(DM117,DQ117)</f>
        <v/>
      </c>
      <c r="DS117" s="15">
        <f>MAX(0,DH117+DJ117-DR117-DN117)</f>
        <v/>
      </c>
      <c r="DT117" s="15">
        <f>MAX(0,DI117-MAX(0,DR117+DN117-DH117-DJ117))</f>
        <v/>
      </c>
      <c r="DU117" s="15">
        <f>SUMPRODUCT((DS117&gt;tax_tables!$E$5:$E$16*P117)*(DS117-tax_tables!$E$5:$E$16*P117)*tax_tables!$G$5:$G$16)+SUMPRODUCT(((DS117+DT117)&gt;tax_tables!$I$5:$I$16*P117)*((DS117+DT117)-tax_tables!$I$5:$I$16*P117)*tax_tables!$K$5:$K$16)-SUMPRODUCT((DS117&gt;tax_tables!$I$5:$I$16*P117)*(DS117-tax_tables!$I$5:$I$16*P117)*tax_tables!$K$5:$K$16)+tax_tables!$B$19*BV117+tax_tables!$B$12*MIN(CE117+DB117+BS117+BU117,MAX(0,DK117-tax_tables!$B$13))</f>
        <v/>
      </c>
      <c r="DV117" s="12">
        <f>IF($B$39="",0,IF(A117&gt;=$B$39,1,0))</f>
        <v/>
      </c>
      <c r="DW117" s="15">
        <f>IF(B117+0.5&gt;=tax_tables!$B$30,MIN(CS117+CH117+CY117+CA117,tax_tables!$B$29),0)+IF(C117+0.5&gt;=tax_tables!$B$30,MIN(CT117+CI117+CZ117+CB117,tax_tables!$B$29),0)</f>
        <v/>
      </c>
      <c r="DX117" s="15">
        <f>MAX(0,DK117-tax_tables!$B$28*DJ117-DW117-tax_tables!$B$26*IF(tax_tables!$B$27=1,P117,1))</f>
        <v/>
      </c>
      <c r="DY117" s="15">
        <f>(1-DV117)*SUMPRODUCT((DX117&gt;tax_tables!$M$5:$M$16*IF(tax_tables!$B$27=1,P117,1))*(DX117-tax_tables!$M$5:$M$16*IF(tax_tables!$B$27=1,P117,1))*tax_tables!$O$5:$O$16)</f>
        <v/>
      </c>
      <c r="DZ117" s="15">
        <f>(1-DV117)*tax_tables!$B$31*DX117</f>
        <v/>
      </c>
      <c r="EA117" s="15">
        <f>DV117*$B$40*MAX(0,DK117-DJ117)</f>
        <v/>
      </c>
      <c r="EB117" s="15">
        <f>DU117+DY117+DZ117+EA117</f>
        <v/>
      </c>
      <c r="EC117" s="15">
        <f>DC117+DE117+DF117+DG117+BP117</f>
        <v/>
      </c>
      <c r="ED117" s="15">
        <f>EC117+BW117-AP117+BX117</f>
        <v/>
      </c>
    </row>
    <row r="118">
      <c r="A118" s="12">
        <f>A117+1</f>
        <v/>
      </c>
      <c r="B118" s="12">
        <f>A118-household!$B$6</f>
        <v/>
      </c>
      <c r="C118" s="12">
        <f>A118-household!$B$9</f>
        <v/>
      </c>
      <c r="D118" s="15">
        <f>AS118+AT118+AU118+AV118+AZ118+BM118+AK118</f>
        <v/>
      </c>
      <c r="E118" s="15">
        <f>CN118+AG118+AF118</f>
        <v/>
      </c>
      <c r="F118" s="15">
        <f>BY118+BZ118</f>
        <v/>
      </c>
      <c r="G118" s="15">
        <f>CQ118+CR118+CU118+CH118+CI118+CE118-CW118+CV118+BO118</f>
        <v/>
      </c>
      <c r="H118" s="22">
        <f>IF(CC118+CF118+CG118+CJ118+BN118&lt;=0,"",G118/(CC118+CF118+CG118+CJ118+BN118))</f>
        <v/>
      </c>
      <c r="I118" s="23">
        <f>EC118/O118</f>
        <v/>
      </c>
      <c r="J118" s="23">
        <f>ED118/O118</f>
        <v/>
      </c>
      <c r="K118" s="15">
        <f>MAX(0,CP118-CQ118-CR118-CU118-CV118)</f>
        <v/>
      </c>
      <c r="L118" s="11" t="n"/>
      <c r="M118" s="22">
        <f>IF(L118="",$B$19,L118)</f>
        <v/>
      </c>
      <c r="N118" s="14" t="n"/>
      <c r="O118" s="13">
        <f>(1+$B$18)^(A118-household!$B$4+1)</f>
        <v/>
      </c>
      <c r="P118" s="13">
        <f>(1+$B$18)^(A118-tax_tables!$B$4)</f>
        <v/>
      </c>
      <c r="Q118" s="13">
        <f>(1+$B$21)^(A118-household!$B$4+1)</f>
        <v/>
      </c>
      <c r="R118" s="13">
        <f>(1+$B$22)^(A118-household!$B$4+1)</f>
        <v/>
      </c>
      <c r="S118" s="13">
        <f>(1+$B$23)^(A118-household!$B$4+1)</f>
        <v/>
      </c>
      <c r="T118" s="12">
        <f>IF(A118&lt;$B$5,1,0)</f>
        <v/>
      </c>
      <c r="U118" s="12">
        <f>IF(A118&lt;$B$6,1,0)</f>
        <v/>
      </c>
      <c r="V118" s="12">
        <f>IF(T118+U118&gt;0,1,0)</f>
        <v/>
      </c>
      <c r="W118" s="15">
        <f>T118*$B$7*O118+SUMPRODUCT(($B$83:$B$88=A118)*($D$83:$D$88="Wages: person 1")*$C$83:$C$88)*O118</f>
        <v/>
      </c>
      <c r="X118" s="15">
        <f>U118*$B$8*O118+SUMPRODUCT(($B$83:$B$88=A118)*($D$83:$D$88="Wages: person 2")*$C$83:$C$88)*O118</f>
        <v/>
      </c>
      <c r="Y118" s="15">
        <f>T118*$B$9*O118</f>
        <v/>
      </c>
      <c r="Z118" s="15">
        <f>U118*$B$10*O118</f>
        <v/>
      </c>
      <c r="AA118" s="15">
        <f>T118*$B$11*O118</f>
        <v/>
      </c>
      <c r="AB118" s="15">
        <f>U118*$B$12*O118</f>
        <v/>
      </c>
      <c r="AC118" s="15">
        <f>V118*$B$13*O118</f>
        <v/>
      </c>
      <c r="AD118" s="15">
        <f>W118+X118</f>
        <v/>
      </c>
      <c r="AE118" s="15">
        <f>AD118-Y118-Z118-AC118</f>
        <v/>
      </c>
      <c r="AF118" s="15">
        <f>0.062*MIN(W118,tax_tables!$B$21*P118)+0.062*MIN(X118,tax_tables!$B$21*P118)+0.0145*AD118+0.009*MAX(0,AD118-tax_tables!$B$22)</f>
        <v/>
      </c>
      <c r="AG118" s="15">
        <f>$B$14*AE118</f>
        <v/>
      </c>
      <c r="AH118" s="15">
        <f>AD118-Y118-Z118-AC118-AF118-AG118</f>
        <v/>
      </c>
      <c r="AI118" s="15">
        <f>SUMPRODUCT(($B$83:$B$88=A118)*($D$83:$D$88="Other taxable income")*$C$83:$C$88)*O118</f>
        <v/>
      </c>
      <c r="AJ118" s="15">
        <f>SUMPRODUCT(($B$83:$B$88=A118)*($D$83:$D$88="Tax-free money in")*$C$83:$C$88)*O118</f>
        <v/>
      </c>
      <c r="AK118" s="15">
        <f>SUMPRODUCT(($B$83:$B$88=A118)*($D$83:$D$88="Expense")*$C$83:$C$88)*O118</f>
        <v/>
      </c>
      <c r="AL118" s="12">
        <f>IF(OR($B$75="",A118&lt;$B$75),1,0)</f>
        <v/>
      </c>
      <c r="AM118" s="15">
        <f>AP117</f>
        <v/>
      </c>
      <c r="AN118" s="15">
        <f>AL118*AM118*properties!$J$2</f>
        <v/>
      </c>
      <c r="AO118" s="15">
        <f>AL118*MIN(properties!$K$2,AM118+AN118)</f>
        <v/>
      </c>
      <c r="AP118" s="15">
        <f>AL118*(AM118+AN118-AO118)</f>
        <v/>
      </c>
      <c r="AQ118" s="15">
        <f>AL118*properties!$G$2*O118</f>
        <v/>
      </c>
      <c r="AR118" s="15">
        <f>(1-AL118)*$E$75*O118</f>
        <v/>
      </c>
      <c r="AS118" s="15">
        <f>AO118+AQ118+AR118</f>
        <v/>
      </c>
      <c r="AT118" s="15">
        <f>SUMIF(budget!$A$2:$A$300,"household",budget!$F$2:$F$300)*O118*IF(N118="",1,N118)</f>
        <v/>
      </c>
      <c r="AU118" s="15">
        <f>SUMPRODUCT((other_budget!$C$2:$C$30&lt;=A118)*(other_budget!$D$2:$D$30&gt;=A118)*other_budget!$B$2:$B$30)*O118</f>
        <v/>
      </c>
      <c r="AV118" s="15">
        <f>SUMPRODUCT((kids_budget!$D$2:$D$40&lt;=A118)*(kids_budget!$E$2:$E$40&gt;=A118)*(kids_budget!$G$2:$G$40&lt;&gt;"college_funds")*kids_budget!$C$2:$C$40*((kids_budget!$F$2:$F$40="college")*R118+(kids_budget!$F$2:$F$40&lt;&gt;"college")*O118))</f>
        <v/>
      </c>
      <c r="AW118" s="15">
        <f>SUMPRODUCT((kids_budget!$D$2:$D$40&lt;=A118)*(kids_budget!$E$2:$E$40&gt;=A118)*(kids_budget!$G$2:$G$40="college_funds")*kids_budget!$C$2:$C$40*((kids_budget!$F$2:$F$40="college")*R118+(kids_budget!$F$2:$F$40&lt;&gt;"college")*O118))</f>
        <v/>
      </c>
      <c r="AX118" s="15">
        <f>BA117</f>
        <v/>
      </c>
      <c r="AY118" s="15">
        <f>MIN(AW118,AX118*(1+M118))</f>
        <v/>
      </c>
      <c r="AZ118" s="15">
        <f>AW118-AY118</f>
        <v/>
      </c>
      <c r="BA118" s="15">
        <f>AX118*(1+M118)-AY118</f>
        <v/>
      </c>
      <c r="BB118" s="15">
        <f>V118*healthcare!$B$5*Q118</f>
        <v/>
      </c>
      <c r="BC118" s="12">
        <f>(1-V118)*((B118&lt;65)+(C118&lt;65))</f>
        <v/>
      </c>
      <c r="BD118" s="12">
        <f>COUNTIF(household!$C$16:$C$23,"&gt;="&amp;A118)</f>
        <v/>
      </c>
      <c r="BE118" s="15">
        <f>(BC118*healthcare!$B$2+IF(BC118&gt;0,BD118,0)*healthcare!$B$3)*12*Q118</f>
        <v/>
      </c>
      <c r="BF118" s="15">
        <f>IF(BC118&gt;0,(BC118+BD118)*healthcare!$B$4*Q118,0)</f>
        <v/>
      </c>
      <c r="BG118" s="12">
        <f>(B118&gt;=65)+(C118&gt;=65)</f>
        <v/>
      </c>
      <c r="BH118" s="15">
        <f>BG118*(healthcare!$B$6+healthcare!$B$7+healthcare!$B$8)*12*Q118</f>
        <v/>
      </c>
      <c r="BI118" s="15">
        <f>BG118*healthcare!$B$9*Q118</f>
        <v/>
      </c>
      <c r="BJ118" s="15">
        <f>BG118*12*O118*SUMPRODUCT((DK116&gt;tax_tables!$Q$5:$Q$9*P118)*tax_tables!$T$5:$T$9)</f>
        <v/>
      </c>
      <c r="BK118" s="12">
        <f>AND(B118&gt;=$B$51,B118&lt;$B$51+$B$52)*1+AND(C118&gt;=$B$53,C118&lt;$B$53+$B$54)*1</f>
        <v/>
      </c>
      <c r="BL118" s="15">
        <f>BK118*$B$55*S118</f>
        <v/>
      </c>
      <c r="BM118" s="15">
        <f>BB118+BE118+BF118+BH118+BI118+BJ118+BL118</f>
        <v/>
      </c>
      <c r="BN118" s="15">
        <f>BP117</f>
        <v/>
      </c>
      <c r="BO118" s="15">
        <f>IF(V118=1,0,MIN(BN118*(1+M118),BF118+BG118*(healthcare!$B$6+healthcare!$B$7)*12*Q118+BI118+BJ118+BL118))</f>
        <v/>
      </c>
      <c r="BP118" s="15">
        <f>BN118*(1+M118)-BO118+AC118-CV118</f>
        <v/>
      </c>
      <c r="BQ118" s="15">
        <f>SUMPRODUCT((1-($B$76:$B$79&gt;0)*(A118&gt;=$B$76:$B$79))*(1-(($C$76:$C$79&gt;0)*(A118&gt;=$C$76:$C$79)))*(properties!$L$3:$L$6-properties!$M$3:$M$6))*O118+SUMPRODUCT((1-($B$76:$B$79&gt;0)*(A118&gt;=$B$76:$B$79))*(($C$76:$C$79&gt;0)*(A118&gt;=$C$76:$C$79))*($D$76:$D$79-$E$76:$E$79))*O118</f>
        <v/>
      </c>
      <c r="BR118" s="15">
        <f>SUMPRODUCT((1-($B$76:$B$79&gt;0)*(A118&gt;=$B$76:$B$79))*properties!$N$3:$N$6*(A118&lt;=properties!$O$3:$O$6))</f>
        <v/>
      </c>
      <c r="BS118" s="15">
        <f>MAX(0,BQ118-BR118)</f>
        <v/>
      </c>
      <c r="BT118" s="15">
        <f>SUMPRODUCT(($B$75:$B$79=A118)*$G$75:$G$79)</f>
        <v/>
      </c>
      <c r="BU118" s="15">
        <f>SUMPRODUCT(($B$75:$B$79=A118)*$H$75:$H$79)</f>
        <v/>
      </c>
      <c r="BV118" s="15">
        <f>SUMPRODUCT(($B$75:$B$79=A118)*$I$75:$I$79)</f>
        <v/>
      </c>
      <c r="BW118" s="15">
        <f>AL118*properties!$C$2*(1+properties!$D$2)^(A118-household!$B$4+1)</f>
        <v/>
      </c>
      <c r="BX118" s="15">
        <f>SUMPRODUCT((1-($B$76:$B$79&gt;0)*(A118&gt;=$B$76:$B$79))*properties!$C$3:$C$6*(1+properties!$D$3:$D$6)^(A118-household!$B$4+1))</f>
        <v/>
      </c>
      <c r="BY118" s="15">
        <f>IF(A118&gt;=$B$31,IF(A118&gt;=$B$32,MAX(household!$B$11*12*(1-$B$28)*O118*IF(A118&gt;=$B$30,1-$B$29,1)*$B$33,0.5*household!$B$12*12*(1-$B$28)*O118*IF(A118&gt;=$B$30,1-$B$29,1)*$B$35),household!$B$11*12*(1-$B$28)*O118*IF(A118&gt;=$B$30,1-$B$29,1)*$B$33),0)</f>
        <v/>
      </c>
      <c r="BZ118" s="15">
        <f>IF(A118&gt;=$B$32,IF(A118&gt;=$B$31,MAX(household!$B$12*12*(1-$B$28)*O118*IF(A118&gt;=$B$30,1-$B$29,1)*$B$34,0.5*household!$B$11*12*(1-$B$28)*O118*IF(A118&gt;=$B$30,1-$B$29,1)*$B$36),household!$B$12*12*(1-$B$28)*O118*IF(A118&gt;=$B$30,1-$B$29,1)*$B$34),0)</f>
        <v/>
      </c>
      <c r="CA118" s="15">
        <f>IF(AND($B$43&lt;&gt;0,A118&gt;=household!$B$6+$B$44),$B$43*(1+$B$18)^(MAX(household!$B$6+$B$44,household!$B$4-1)-household!$B$4+1)*(1+$B$47*$B$18)^(A118-MAX(household!$B$6+$B$44,household!$B$4-1)),0)</f>
        <v/>
      </c>
      <c r="CB118" s="15">
        <f>IF(AND($B$45&lt;&gt;0,A118&gt;=household!$B$9+$B$46),$B$45*(1+$B$18)^(MAX(household!$B$9+$B$46,household!$B$4-1)-household!$B$4+1)*(1+$B$47*$B$18)^(A118-MAX(household!$B$9+$B$46,household!$B$4-1)),0)</f>
        <v/>
      </c>
      <c r="CC118" s="15">
        <f>DC117</f>
        <v/>
      </c>
      <c r="CD118" s="15">
        <f>DD117</f>
        <v/>
      </c>
      <c r="CE118" s="15">
        <f>$B$20*CC118</f>
        <v/>
      </c>
      <c r="CF118" s="15">
        <f>DE117</f>
        <v/>
      </c>
      <c r="CG118" s="15">
        <f>DF117</f>
        <v/>
      </c>
      <c r="CH118" s="15">
        <f>IF(B118&gt;=$B$71,MAX(0,CF118)/INDEX(tax_tables!$Z$5:$Z$53,MATCH(B118,tax_tables!$Y$5:$Y$53,0)),0)</f>
        <v/>
      </c>
      <c r="CI118" s="15">
        <f>IF(C118&gt;=$B$72,MAX(0,CG118)/INDEX(tax_tables!$Z$5:$Z$53,MATCH(C118,tax_tables!$Y$5:$Y$53,0)),0)</f>
        <v/>
      </c>
      <c r="CJ118" s="15">
        <f>DG117</f>
        <v/>
      </c>
      <c r="CK118" s="15">
        <f>IF(OR($B$59="",$B$60=""),0,IF(AND(A118&gt;=$B$59,A118&lt;=$B$60),$B$58*O118,0))</f>
        <v/>
      </c>
      <c r="CL118" s="15">
        <f>MAX(0,CF118*(1+M118)-CH118)</f>
        <v/>
      </c>
      <c r="CM118" s="15">
        <f>MAX(0,CG118*(1+M118)-CI118)</f>
        <v/>
      </c>
      <c r="CN118" s="15">
        <f>EB117-AG117</f>
        <v/>
      </c>
      <c r="CO118" s="15">
        <f>AH118+F118+CA118+CB118+BQ118+CE118+CH118+CI118+BT118+AI118+AJ118+BO118</f>
        <v/>
      </c>
      <c r="CP118" s="15">
        <f>D118+CN118-CO118</f>
        <v/>
      </c>
      <c r="CQ118" s="15">
        <f>MAX(0,MIN(CP118,CC118*(1+M118-$B$20)))</f>
        <v/>
      </c>
      <c r="CR118" s="15">
        <f>MAX(0,MIN(CP118-CQ118,CL118+CM118))</f>
        <v/>
      </c>
      <c r="CS118" s="15">
        <f>IF(CL118+CM118&gt;1,CR118*CL118/(CL118+CM118),0)</f>
        <v/>
      </c>
      <c r="CT118" s="15">
        <f>CR118-CS118</f>
        <v/>
      </c>
      <c r="CU118" s="15">
        <f>MAX(0,MIN(CP118-CQ118-CR118,CJ118*(1+M118)))</f>
        <v/>
      </c>
      <c r="CV118" s="15">
        <f>MAX(0,MIN(CP118-CQ118-CR118-CU118,BN118*(1+M118)-BO118+AC118))</f>
        <v/>
      </c>
      <c r="CW118" s="15">
        <f>MAX(0,-CP118)</f>
        <v/>
      </c>
      <c r="CX118" s="15">
        <f>MIN(CK118,CL118-CS118+CM118-CT118)</f>
        <v/>
      </c>
      <c r="CY118" s="15">
        <f>IF(CL118-CS118+CM118-CT118&gt;1,CX118*(CL118-CS118)/(CL118-CS118+CM118-CT118),0)</f>
        <v/>
      </c>
      <c r="CZ118" s="15">
        <f>CX118-CY118</f>
        <v/>
      </c>
      <c r="DA118" s="22">
        <f>IF(CC118&gt;0,MAX(0,1-CD118/CC118),0)</f>
        <v/>
      </c>
      <c r="DB118" s="15">
        <f>CQ118*DA118</f>
        <v/>
      </c>
      <c r="DC118" s="15">
        <f>CC118*(1+M118-$B$20)-CQ118+CW118</f>
        <v/>
      </c>
      <c r="DD118" s="15">
        <f>CD118-(CQ118-DB118)+CW118</f>
        <v/>
      </c>
      <c r="DE118" s="15">
        <f>CF118*(1+M118)-CH118-CS118-CY118+Y118+AA118</f>
        <v/>
      </c>
      <c r="DF118" s="15">
        <f>CG118*(1+M118)-CI118-CT118-CZ118+Z118+AB118</f>
        <v/>
      </c>
      <c r="DG118" s="15">
        <f>CJ118*(1+M118)-CU118+CX118</f>
        <v/>
      </c>
      <c r="DH118" s="15">
        <f>AE118+CR118+CH118+CI118+CX118+CV118+BS118+AI118+CA118+CB118</f>
        <v/>
      </c>
      <c r="DI118" s="15">
        <f>CE118+DB118+BU118</f>
        <v/>
      </c>
      <c r="DJ118" s="15">
        <f>IF((DH118+DI118+0.5*F118)&lt;=tax_tables!$B$14,0,IF((DH118+DI118+0.5*F118)&lt;=tax_tables!$B$15,MIN(0.5*F118,0.5*((DH118+DI118+0.5*F118)-tax_tables!$B$14)),MIN(0.85*F118,0.85*((DH118+DI118+0.5*F118)-tax_tables!$B$15)+MIN(0.5*F118,tax_tables!$B$15-tax_tables!$B$14))))</f>
        <v/>
      </c>
      <c r="DK118" s="15">
        <f>DH118+DI118+DJ118</f>
        <v/>
      </c>
      <c r="DL118" s="12">
        <f>(B118&gt;=65)+(C118&gt;=65)</f>
        <v/>
      </c>
      <c r="DM118" s="15">
        <f>(tax_tables!$B$5+tax_tables!$B$6*DL118)*P118</f>
        <v/>
      </c>
      <c r="DN118" s="15">
        <f>IF(AND(A118&gt;=tax_tables!$B$8,A118&lt;=tax_tables!$B$9),DL118*MAX(0,tax_tables!$B$7-tax_tables!$B$11*MAX(0,DK118-tax_tables!$B$10)),0)</f>
        <v/>
      </c>
      <c r="DO118" s="15">
        <f>IFERROR(MAX(tax_tables!$B$16,INDEX(tax_tables!$W$5:$W$8,MATCH(A118,tax_tables!$V$5:$V$8,0))-tax_tables!$B$18*MAX(0,DK118-tax_tables!$B$17*1.01^(A118-tax_tables!$B$4))),tax_tables!$B$16)</f>
        <v/>
      </c>
      <c r="DP118" s="15">
        <f>MAX(0,BM118-BB118-tax_tables!$B$23*DK118)</f>
        <v/>
      </c>
      <c r="DQ118" s="15">
        <f>AN118+MIN(DO118,DY117+DZ117+EA117+AL118*properties!$H$2*O118)+DP118+$B$61*O118</f>
        <v/>
      </c>
      <c r="DR118" s="15">
        <f>MAX(DM118,DQ118)</f>
        <v/>
      </c>
      <c r="DS118" s="15">
        <f>MAX(0,DH118+DJ118-DR118-DN118)</f>
        <v/>
      </c>
      <c r="DT118" s="15">
        <f>MAX(0,DI118-MAX(0,DR118+DN118-DH118-DJ118))</f>
        <v/>
      </c>
      <c r="DU118" s="15">
        <f>SUMPRODUCT((DS118&gt;tax_tables!$E$5:$E$16*P118)*(DS118-tax_tables!$E$5:$E$16*P118)*tax_tables!$G$5:$G$16)+SUMPRODUCT(((DS118+DT118)&gt;tax_tables!$I$5:$I$16*P118)*((DS118+DT118)-tax_tables!$I$5:$I$16*P118)*tax_tables!$K$5:$K$16)-SUMPRODUCT((DS118&gt;tax_tables!$I$5:$I$16*P118)*(DS118-tax_tables!$I$5:$I$16*P118)*tax_tables!$K$5:$K$16)+tax_tables!$B$19*BV118+tax_tables!$B$12*MIN(CE118+DB118+BS118+BU118,MAX(0,DK118-tax_tables!$B$13))</f>
        <v/>
      </c>
      <c r="DV118" s="12">
        <f>IF($B$39="",0,IF(A118&gt;=$B$39,1,0))</f>
        <v/>
      </c>
      <c r="DW118" s="15">
        <f>IF(B118+0.5&gt;=tax_tables!$B$30,MIN(CS118+CH118+CY118+CA118,tax_tables!$B$29),0)+IF(C118+0.5&gt;=tax_tables!$B$30,MIN(CT118+CI118+CZ118+CB118,tax_tables!$B$29),0)</f>
        <v/>
      </c>
      <c r="DX118" s="15">
        <f>MAX(0,DK118-tax_tables!$B$28*DJ118-DW118-tax_tables!$B$26*IF(tax_tables!$B$27=1,P118,1))</f>
        <v/>
      </c>
      <c r="DY118" s="15">
        <f>(1-DV118)*SUMPRODUCT((DX118&gt;tax_tables!$M$5:$M$16*IF(tax_tables!$B$27=1,P118,1))*(DX118-tax_tables!$M$5:$M$16*IF(tax_tables!$B$27=1,P118,1))*tax_tables!$O$5:$O$16)</f>
        <v/>
      </c>
      <c r="DZ118" s="15">
        <f>(1-DV118)*tax_tables!$B$31*DX118</f>
        <v/>
      </c>
      <c r="EA118" s="15">
        <f>DV118*$B$40*MAX(0,DK118-DJ118)</f>
        <v/>
      </c>
      <c r="EB118" s="15">
        <f>DU118+DY118+DZ118+EA118</f>
        <v/>
      </c>
      <c r="EC118" s="15">
        <f>DC118+DE118+DF118+DG118+BP118</f>
        <v/>
      </c>
      <c r="ED118" s="15">
        <f>EC118+BW118-AP118+BX118</f>
        <v/>
      </c>
    </row>
    <row r="119">
      <c r="A119" s="12">
        <f>A118+1</f>
        <v/>
      </c>
      <c r="B119" s="12">
        <f>A119-household!$B$6</f>
        <v/>
      </c>
      <c r="C119" s="12">
        <f>A119-household!$B$9</f>
        <v/>
      </c>
      <c r="D119" s="15">
        <f>AS119+AT119+AU119+AV119+AZ119+BM119+AK119</f>
        <v/>
      </c>
      <c r="E119" s="15">
        <f>CN119+AG119+AF119</f>
        <v/>
      </c>
      <c r="F119" s="15">
        <f>BY119+BZ119</f>
        <v/>
      </c>
      <c r="G119" s="15">
        <f>CQ119+CR119+CU119+CH119+CI119+CE119-CW119+CV119+BO119</f>
        <v/>
      </c>
      <c r="H119" s="22">
        <f>IF(CC119+CF119+CG119+CJ119+BN119&lt;=0,"",G119/(CC119+CF119+CG119+CJ119+BN119))</f>
        <v/>
      </c>
      <c r="I119" s="23">
        <f>EC119/O119</f>
        <v/>
      </c>
      <c r="J119" s="23">
        <f>ED119/O119</f>
        <v/>
      </c>
      <c r="K119" s="15">
        <f>MAX(0,CP119-CQ119-CR119-CU119-CV119)</f>
        <v/>
      </c>
      <c r="L119" s="11" t="n"/>
      <c r="M119" s="22">
        <f>IF(L119="",$B$19,L119)</f>
        <v/>
      </c>
      <c r="N119" s="14" t="n"/>
      <c r="O119" s="13">
        <f>(1+$B$18)^(A119-household!$B$4+1)</f>
        <v/>
      </c>
      <c r="P119" s="13">
        <f>(1+$B$18)^(A119-tax_tables!$B$4)</f>
        <v/>
      </c>
      <c r="Q119" s="13">
        <f>(1+$B$21)^(A119-household!$B$4+1)</f>
        <v/>
      </c>
      <c r="R119" s="13">
        <f>(1+$B$22)^(A119-household!$B$4+1)</f>
        <v/>
      </c>
      <c r="S119" s="13">
        <f>(1+$B$23)^(A119-household!$B$4+1)</f>
        <v/>
      </c>
      <c r="T119" s="12">
        <f>IF(A119&lt;$B$5,1,0)</f>
        <v/>
      </c>
      <c r="U119" s="12">
        <f>IF(A119&lt;$B$6,1,0)</f>
        <v/>
      </c>
      <c r="V119" s="12">
        <f>IF(T119+U119&gt;0,1,0)</f>
        <v/>
      </c>
      <c r="W119" s="15">
        <f>T119*$B$7*O119+SUMPRODUCT(($B$83:$B$88=A119)*($D$83:$D$88="Wages: person 1")*$C$83:$C$88)*O119</f>
        <v/>
      </c>
      <c r="X119" s="15">
        <f>U119*$B$8*O119+SUMPRODUCT(($B$83:$B$88=A119)*($D$83:$D$88="Wages: person 2")*$C$83:$C$88)*O119</f>
        <v/>
      </c>
      <c r="Y119" s="15">
        <f>T119*$B$9*O119</f>
        <v/>
      </c>
      <c r="Z119" s="15">
        <f>U119*$B$10*O119</f>
        <v/>
      </c>
      <c r="AA119" s="15">
        <f>T119*$B$11*O119</f>
        <v/>
      </c>
      <c r="AB119" s="15">
        <f>U119*$B$12*O119</f>
        <v/>
      </c>
      <c r="AC119" s="15">
        <f>V119*$B$13*O119</f>
        <v/>
      </c>
      <c r="AD119" s="15">
        <f>W119+X119</f>
        <v/>
      </c>
      <c r="AE119" s="15">
        <f>AD119-Y119-Z119-AC119</f>
        <v/>
      </c>
      <c r="AF119" s="15">
        <f>0.062*MIN(W119,tax_tables!$B$21*P119)+0.062*MIN(X119,tax_tables!$B$21*P119)+0.0145*AD119+0.009*MAX(0,AD119-tax_tables!$B$22)</f>
        <v/>
      </c>
      <c r="AG119" s="15">
        <f>$B$14*AE119</f>
        <v/>
      </c>
      <c r="AH119" s="15">
        <f>AD119-Y119-Z119-AC119-AF119-AG119</f>
        <v/>
      </c>
      <c r="AI119" s="15">
        <f>SUMPRODUCT(($B$83:$B$88=A119)*($D$83:$D$88="Other taxable income")*$C$83:$C$88)*O119</f>
        <v/>
      </c>
      <c r="AJ119" s="15">
        <f>SUMPRODUCT(($B$83:$B$88=A119)*($D$83:$D$88="Tax-free money in")*$C$83:$C$88)*O119</f>
        <v/>
      </c>
      <c r="AK119" s="15">
        <f>SUMPRODUCT(($B$83:$B$88=A119)*($D$83:$D$88="Expense")*$C$83:$C$88)*O119</f>
        <v/>
      </c>
      <c r="AL119" s="12">
        <f>IF(OR($B$75="",A119&lt;$B$75),1,0)</f>
        <v/>
      </c>
      <c r="AM119" s="15">
        <f>AP118</f>
        <v/>
      </c>
      <c r="AN119" s="15">
        <f>AL119*AM119*properties!$J$2</f>
        <v/>
      </c>
      <c r="AO119" s="15">
        <f>AL119*MIN(properties!$K$2,AM119+AN119)</f>
        <v/>
      </c>
      <c r="AP119" s="15">
        <f>AL119*(AM119+AN119-AO119)</f>
        <v/>
      </c>
      <c r="AQ119" s="15">
        <f>AL119*properties!$G$2*O119</f>
        <v/>
      </c>
      <c r="AR119" s="15">
        <f>(1-AL119)*$E$75*O119</f>
        <v/>
      </c>
      <c r="AS119" s="15">
        <f>AO119+AQ119+AR119</f>
        <v/>
      </c>
      <c r="AT119" s="15">
        <f>SUMIF(budget!$A$2:$A$300,"household",budget!$F$2:$F$300)*O119*IF(N119="",1,N119)</f>
        <v/>
      </c>
      <c r="AU119" s="15">
        <f>SUMPRODUCT((other_budget!$C$2:$C$30&lt;=A119)*(other_budget!$D$2:$D$30&gt;=A119)*other_budget!$B$2:$B$30)*O119</f>
        <v/>
      </c>
      <c r="AV119" s="15">
        <f>SUMPRODUCT((kids_budget!$D$2:$D$40&lt;=A119)*(kids_budget!$E$2:$E$40&gt;=A119)*(kids_budget!$G$2:$G$40&lt;&gt;"college_funds")*kids_budget!$C$2:$C$40*((kids_budget!$F$2:$F$40="college")*R119+(kids_budget!$F$2:$F$40&lt;&gt;"college")*O119))</f>
        <v/>
      </c>
      <c r="AW119" s="15">
        <f>SUMPRODUCT((kids_budget!$D$2:$D$40&lt;=A119)*(kids_budget!$E$2:$E$40&gt;=A119)*(kids_budget!$G$2:$G$40="college_funds")*kids_budget!$C$2:$C$40*((kids_budget!$F$2:$F$40="college")*R119+(kids_budget!$F$2:$F$40&lt;&gt;"college")*O119))</f>
        <v/>
      </c>
      <c r="AX119" s="15">
        <f>BA118</f>
        <v/>
      </c>
      <c r="AY119" s="15">
        <f>MIN(AW119,AX119*(1+M119))</f>
        <v/>
      </c>
      <c r="AZ119" s="15">
        <f>AW119-AY119</f>
        <v/>
      </c>
      <c r="BA119" s="15">
        <f>AX119*(1+M119)-AY119</f>
        <v/>
      </c>
      <c r="BB119" s="15">
        <f>V119*healthcare!$B$5*Q119</f>
        <v/>
      </c>
      <c r="BC119" s="12">
        <f>(1-V119)*((B119&lt;65)+(C119&lt;65))</f>
        <v/>
      </c>
      <c r="BD119" s="12">
        <f>COUNTIF(household!$C$16:$C$23,"&gt;="&amp;A119)</f>
        <v/>
      </c>
      <c r="BE119" s="15">
        <f>(BC119*healthcare!$B$2+IF(BC119&gt;0,BD119,0)*healthcare!$B$3)*12*Q119</f>
        <v/>
      </c>
      <c r="BF119" s="15">
        <f>IF(BC119&gt;0,(BC119+BD119)*healthcare!$B$4*Q119,0)</f>
        <v/>
      </c>
      <c r="BG119" s="12">
        <f>(B119&gt;=65)+(C119&gt;=65)</f>
        <v/>
      </c>
      <c r="BH119" s="15">
        <f>BG119*(healthcare!$B$6+healthcare!$B$7+healthcare!$B$8)*12*Q119</f>
        <v/>
      </c>
      <c r="BI119" s="15">
        <f>BG119*healthcare!$B$9*Q119</f>
        <v/>
      </c>
      <c r="BJ119" s="15">
        <f>BG119*12*O119*SUMPRODUCT((DK117&gt;tax_tables!$Q$5:$Q$9*P119)*tax_tables!$T$5:$T$9)</f>
        <v/>
      </c>
      <c r="BK119" s="12">
        <f>AND(B119&gt;=$B$51,B119&lt;$B$51+$B$52)*1+AND(C119&gt;=$B$53,C119&lt;$B$53+$B$54)*1</f>
        <v/>
      </c>
      <c r="BL119" s="15">
        <f>BK119*$B$55*S119</f>
        <v/>
      </c>
      <c r="BM119" s="15">
        <f>BB119+BE119+BF119+BH119+BI119+BJ119+BL119</f>
        <v/>
      </c>
      <c r="BN119" s="15">
        <f>BP118</f>
        <v/>
      </c>
      <c r="BO119" s="15">
        <f>IF(V119=1,0,MIN(BN119*(1+M119),BF119+BG119*(healthcare!$B$6+healthcare!$B$7)*12*Q119+BI119+BJ119+BL119))</f>
        <v/>
      </c>
      <c r="BP119" s="15">
        <f>BN119*(1+M119)-BO119+AC119-CV119</f>
        <v/>
      </c>
      <c r="BQ119" s="15">
        <f>SUMPRODUCT((1-($B$76:$B$79&gt;0)*(A119&gt;=$B$76:$B$79))*(1-(($C$76:$C$79&gt;0)*(A119&gt;=$C$76:$C$79)))*(properties!$L$3:$L$6-properties!$M$3:$M$6))*O119+SUMPRODUCT((1-($B$76:$B$79&gt;0)*(A119&gt;=$B$76:$B$79))*(($C$76:$C$79&gt;0)*(A119&gt;=$C$76:$C$79))*($D$76:$D$79-$E$76:$E$79))*O119</f>
        <v/>
      </c>
      <c r="BR119" s="15">
        <f>SUMPRODUCT((1-($B$76:$B$79&gt;0)*(A119&gt;=$B$76:$B$79))*properties!$N$3:$N$6*(A119&lt;=properties!$O$3:$O$6))</f>
        <v/>
      </c>
      <c r="BS119" s="15">
        <f>MAX(0,BQ119-BR119)</f>
        <v/>
      </c>
      <c r="BT119" s="15">
        <f>SUMPRODUCT(($B$75:$B$79=A119)*$G$75:$G$79)</f>
        <v/>
      </c>
      <c r="BU119" s="15">
        <f>SUMPRODUCT(($B$75:$B$79=A119)*$H$75:$H$79)</f>
        <v/>
      </c>
      <c r="BV119" s="15">
        <f>SUMPRODUCT(($B$75:$B$79=A119)*$I$75:$I$79)</f>
        <v/>
      </c>
      <c r="BW119" s="15">
        <f>AL119*properties!$C$2*(1+properties!$D$2)^(A119-household!$B$4+1)</f>
        <v/>
      </c>
      <c r="BX119" s="15">
        <f>SUMPRODUCT((1-($B$76:$B$79&gt;0)*(A119&gt;=$B$76:$B$79))*properties!$C$3:$C$6*(1+properties!$D$3:$D$6)^(A119-household!$B$4+1))</f>
        <v/>
      </c>
      <c r="BY119" s="15">
        <f>IF(A119&gt;=$B$31,IF(A119&gt;=$B$32,MAX(household!$B$11*12*(1-$B$28)*O119*IF(A119&gt;=$B$30,1-$B$29,1)*$B$33,0.5*household!$B$12*12*(1-$B$28)*O119*IF(A119&gt;=$B$30,1-$B$29,1)*$B$35),household!$B$11*12*(1-$B$28)*O119*IF(A119&gt;=$B$30,1-$B$29,1)*$B$33),0)</f>
        <v/>
      </c>
      <c r="BZ119" s="15">
        <f>IF(A119&gt;=$B$32,IF(A119&gt;=$B$31,MAX(household!$B$12*12*(1-$B$28)*O119*IF(A119&gt;=$B$30,1-$B$29,1)*$B$34,0.5*household!$B$11*12*(1-$B$28)*O119*IF(A119&gt;=$B$30,1-$B$29,1)*$B$36),household!$B$12*12*(1-$B$28)*O119*IF(A119&gt;=$B$30,1-$B$29,1)*$B$34),0)</f>
        <v/>
      </c>
      <c r="CA119" s="15">
        <f>IF(AND($B$43&lt;&gt;0,A119&gt;=household!$B$6+$B$44),$B$43*(1+$B$18)^(MAX(household!$B$6+$B$44,household!$B$4-1)-household!$B$4+1)*(1+$B$47*$B$18)^(A119-MAX(household!$B$6+$B$44,household!$B$4-1)),0)</f>
        <v/>
      </c>
      <c r="CB119" s="15">
        <f>IF(AND($B$45&lt;&gt;0,A119&gt;=household!$B$9+$B$46),$B$45*(1+$B$18)^(MAX(household!$B$9+$B$46,household!$B$4-1)-household!$B$4+1)*(1+$B$47*$B$18)^(A119-MAX(household!$B$9+$B$46,household!$B$4-1)),0)</f>
        <v/>
      </c>
      <c r="CC119" s="15">
        <f>DC118</f>
        <v/>
      </c>
      <c r="CD119" s="15">
        <f>DD118</f>
        <v/>
      </c>
      <c r="CE119" s="15">
        <f>$B$20*CC119</f>
        <v/>
      </c>
      <c r="CF119" s="15">
        <f>DE118</f>
        <v/>
      </c>
      <c r="CG119" s="15">
        <f>DF118</f>
        <v/>
      </c>
      <c r="CH119" s="15">
        <f>IF(B119&gt;=$B$71,MAX(0,CF119)/INDEX(tax_tables!$Z$5:$Z$53,MATCH(B119,tax_tables!$Y$5:$Y$53,0)),0)</f>
        <v/>
      </c>
      <c r="CI119" s="15">
        <f>IF(C119&gt;=$B$72,MAX(0,CG119)/INDEX(tax_tables!$Z$5:$Z$53,MATCH(C119,tax_tables!$Y$5:$Y$53,0)),0)</f>
        <v/>
      </c>
      <c r="CJ119" s="15">
        <f>DG118</f>
        <v/>
      </c>
      <c r="CK119" s="15">
        <f>IF(OR($B$59="",$B$60=""),0,IF(AND(A119&gt;=$B$59,A119&lt;=$B$60),$B$58*O119,0))</f>
        <v/>
      </c>
      <c r="CL119" s="15">
        <f>MAX(0,CF119*(1+M119)-CH119)</f>
        <v/>
      </c>
      <c r="CM119" s="15">
        <f>MAX(0,CG119*(1+M119)-CI119)</f>
        <v/>
      </c>
      <c r="CN119" s="15">
        <f>EB118-AG118</f>
        <v/>
      </c>
      <c r="CO119" s="15">
        <f>AH119+F119+CA119+CB119+BQ119+CE119+CH119+CI119+BT119+AI119+AJ119+BO119</f>
        <v/>
      </c>
      <c r="CP119" s="15">
        <f>D119+CN119-CO119</f>
        <v/>
      </c>
      <c r="CQ119" s="15">
        <f>MAX(0,MIN(CP119,CC119*(1+M119-$B$20)))</f>
        <v/>
      </c>
      <c r="CR119" s="15">
        <f>MAX(0,MIN(CP119-CQ119,CL119+CM119))</f>
        <v/>
      </c>
      <c r="CS119" s="15">
        <f>IF(CL119+CM119&gt;1,CR119*CL119/(CL119+CM119),0)</f>
        <v/>
      </c>
      <c r="CT119" s="15">
        <f>CR119-CS119</f>
        <v/>
      </c>
      <c r="CU119" s="15">
        <f>MAX(0,MIN(CP119-CQ119-CR119,CJ119*(1+M119)))</f>
        <v/>
      </c>
      <c r="CV119" s="15">
        <f>MAX(0,MIN(CP119-CQ119-CR119-CU119,BN119*(1+M119)-BO119+AC119))</f>
        <v/>
      </c>
      <c r="CW119" s="15">
        <f>MAX(0,-CP119)</f>
        <v/>
      </c>
      <c r="CX119" s="15">
        <f>MIN(CK119,CL119-CS119+CM119-CT119)</f>
        <v/>
      </c>
      <c r="CY119" s="15">
        <f>IF(CL119-CS119+CM119-CT119&gt;1,CX119*(CL119-CS119)/(CL119-CS119+CM119-CT119),0)</f>
        <v/>
      </c>
      <c r="CZ119" s="15">
        <f>CX119-CY119</f>
        <v/>
      </c>
      <c r="DA119" s="22">
        <f>IF(CC119&gt;0,MAX(0,1-CD119/CC119),0)</f>
        <v/>
      </c>
      <c r="DB119" s="15">
        <f>CQ119*DA119</f>
        <v/>
      </c>
      <c r="DC119" s="15">
        <f>CC119*(1+M119-$B$20)-CQ119+CW119</f>
        <v/>
      </c>
      <c r="DD119" s="15">
        <f>CD119-(CQ119-DB119)+CW119</f>
        <v/>
      </c>
      <c r="DE119" s="15">
        <f>CF119*(1+M119)-CH119-CS119-CY119+Y119+AA119</f>
        <v/>
      </c>
      <c r="DF119" s="15">
        <f>CG119*(1+M119)-CI119-CT119-CZ119+Z119+AB119</f>
        <v/>
      </c>
      <c r="DG119" s="15">
        <f>CJ119*(1+M119)-CU119+CX119</f>
        <v/>
      </c>
      <c r="DH119" s="15">
        <f>AE119+CR119+CH119+CI119+CX119+CV119+BS119+AI119+CA119+CB119</f>
        <v/>
      </c>
      <c r="DI119" s="15">
        <f>CE119+DB119+BU119</f>
        <v/>
      </c>
      <c r="DJ119" s="15">
        <f>IF((DH119+DI119+0.5*F119)&lt;=tax_tables!$B$14,0,IF((DH119+DI119+0.5*F119)&lt;=tax_tables!$B$15,MIN(0.5*F119,0.5*((DH119+DI119+0.5*F119)-tax_tables!$B$14)),MIN(0.85*F119,0.85*((DH119+DI119+0.5*F119)-tax_tables!$B$15)+MIN(0.5*F119,tax_tables!$B$15-tax_tables!$B$14))))</f>
        <v/>
      </c>
      <c r="DK119" s="15">
        <f>DH119+DI119+DJ119</f>
        <v/>
      </c>
      <c r="DL119" s="12">
        <f>(B119&gt;=65)+(C119&gt;=65)</f>
        <v/>
      </c>
      <c r="DM119" s="15">
        <f>(tax_tables!$B$5+tax_tables!$B$6*DL119)*P119</f>
        <v/>
      </c>
      <c r="DN119" s="15">
        <f>IF(AND(A119&gt;=tax_tables!$B$8,A119&lt;=tax_tables!$B$9),DL119*MAX(0,tax_tables!$B$7-tax_tables!$B$11*MAX(0,DK119-tax_tables!$B$10)),0)</f>
        <v/>
      </c>
      <c r="DO119" s="15">
        <f>IFERROR(MAX(tax_tables!$B$16,INDEX(tax_tables!$W$5:$W$8,MATCH(A119,tax_tables!$V$5:$V$8,0))-tax_tables!$B$18*MAX(0,DK119-tax_tables!$B$17*1.01^(A119-tax_tables!$B$4))),tax_tables!$B$16)</f>
        <v/>
      </c>
      <c r="DP119" s="15">
        <f>MAX(0,BM119-BB119-tax_tables!$B$23*DK119)</f>
        <v/>
      </c>
      <c r="DQ119" s="15">
        <f>AN119+MIN(DO119,DY118+DZ118+EA118+AL119*properties!$H$2*O119)+DP119+$B$61*O119</f>
        <v/>
      </c>
      <c r="DR119" s="15">
        <f>MAX(DM119,DQ119)</f>
        <v/>
      </c>
      <c r="DS119" s="15">
        <f>MAX(0,DH119+DJ119-DR119-DN119)</f>
        <v/>
      </c>
      <c r="DT119" s="15">
        <f>MAX(0,DI119-MAX(0,DR119+DN119-DH119-DJ119))</f>
        <v/>
      </c>
      <c r="DU119" s="15">
        <f>SUMPRODUCT((DS119&gt;tax_tables!$E$5:$E$16*P119)*(DS119-tax_tables!$E$5:$E$16*P119)*tax_tables!$G$5:$G$16)+SUMPRODUCT(((DS119+DT119)&gt;tax_tables!$I$5:$I$16*P119)*((DS119+DT119)-tax_tables!$I$5:$I$16*P119)*tax_tables!$K$5:$K$16)-SUMPRODUCT((DS119&gt;tax_tables!$I$5:$I$16*P119)*(DS119-tax_tables!$I$5:$I$16*P119)*tax_tables!$K$5:$K$16)+tax_tables!$B$19*BV119+tax_tables!$B$12*MIN(CE119+DB119+BS119+BU119,MAX(0,DK119-tax_tables!$B$13))</f>
        <v/>
      </c>
      <c r="DV119" s="12">
        <f>IF($B$39="",0,IF(A119&gt;=$B$39,1,0))</f>
        <v/>
      </c>
      <c r="DW119" s="15">
        <f>IF(B119+0.5&gt;=tax_tables!$B$30,MIN(CS119+CH119+CY119+CA119,tax_tables!$B$29),0)+IF(C119+0.5&gt;=tax_tables!$B$30,MIN(CT119+CI119+CZ119+CB119,tax_tables!$B$29),0)</f>
        <v/>
      </c>
      <c r="DX119" s="15">
        <f>MAX(0,DK119-tax_tables!$B$28*DJ119-DW119-tax_tables!$B$26*IF(tax_tables!$B$27=1,P119,1))</f>
        <v/>
      </c>
      <c r="DY119" s="15">
        <f>(1-DV119)*SUMPRODUCT((DX119&gt;tax_tables!$M$5:$M$16*IF(tax_tables!$B$27=1,P119,1))*(DX119-tax_tables!$M$5:$M$16*IF(tax_tables!$B$27=1,P119,1))*tax_tables!$O$5:$O$16)</f>
        <v/>
      </c>
      <c r="DZ119" s="15">
        <f>(1-DV119)*tax_tables!$B$31*DX119</f>
        <v/>
      </c>
      <c r="EA119" s="15">
        <f>DV119*$B$40*MAX(0,DK119-DJ119)</f>
        <v/>
      </c>
      <c r="EB119" s="15">
        <f>DU119+DY119+DZ119+EA119</f>
        <v/>
      </c>
      <c r="EC119" s="15">
        <f>DC119+DE119+DF119+DG119+BP119</f>
        <v/>
      </c>
      <c r="ED119" s="15">
        <f>EC119+BW119-AP119+BX119</f>
        <v/>
      </c>
    </row>
    <row r="120">
      <c r="A120" s="12">
        <f>A119+1</f>
        <v/>
      </c>
      <c r="B120" s="12">
        <f>A120-household!$B$6</f>
        <v/>
      </c>
      <c r="C120" s="12">
        <f>A120-household!$B$9</f>
        <v/>
      </c>
      <c r="D120" s="15">
        <f>AS120+AT120+AU120+AV120+AZ120+BM120+AK120</f>
        <v/>
      </c>
      <c r="E120" s="15">
        <f>CN120+AG120+AF120</f>
        <v/>
      </c>
      <c r="F120" s="15">
        <f>BY120+BZ120</f>
        <v/>
      </c>
      <c r="G120" s="15">
        <f>CQ120+CR120+CU120+CH120+CI120+CE120-CW120+CV120+BO120</f>
        <v/>
      </c>
      <c r="H120" s="22">
        <f>IF(CC120+CF120+CG120+CJ120+BN120&lt;=0,"",G120/(CC120+CF120+CG120+CJ120+BN120))</f>
        <v/>
      </c>
      <c r="I120" s="23">
        <f>EC120/O120</f>
        <v/>
      </c>
      <c r="J120" s="23">
        <f>ED120/O120</f>
        <v/>
      </c>
      <c r="K120" s="15">
        <f>MAX(0,CP120-CQ120-CR120-CU120-CV120)</f>
        <v/>
      </c>
      <c r="L120" s="11" t="n"/>
      <c r="M120" s="22">
        <f>IF(L120="",$B$19,L120)</f>
        <v/>
      </c>
      <c r="N120" s="14" t="n"/>
      <c r="O120" s="13">
        <f>(1+$B$18)^(A120-household!$B$4+1)</f>
        <v/>
      </c>
      <c r="P120" s="13">
        <f>(1+$B$18)^(A120-tax_tables!$B$4)</f>
        <v/>
      </c>
      <c r="Q120" s="13">
        <f>(1+$B$21)^(A120-household!$B$4+1)</f>
        <v/>
      </c>
      <c r="R120" s="13">
        <f>(1+$B$22)^(A120-household!$B$4+1)</f>
        <v/>
      </c>
      <c r="S120" s="13">
        <f>(1+$B$23)^(A120-household!$B$4+1)</f>
        <v/>
      </c>
      <c r="T120" s="12">
        <f>IF(A120&lt;$B$5,1,0)</f>
        <v/>
      </c>
      <c r="U120" s="12">
        <f>IF(A120&lt;$B$6,1,0)</f>
        <v/>
      </c>
      <c r="V120" s="12">
        <f>IF(T120+U120&gt;0,1,0)</f>
        <v/>
      </c>
      <c r="W120" s="15">
        <f>T120*$B$7*O120+SUMPRODUCT(($B$83:$B$88=A120)*($D$83:$D$88="Wages: person 1")*$C$83:$C$88)*O120</f>
        <v/>
      </c>
      <c r="X120" s="15">
        <f>U120*$B$8*O120+SUMPRODUCT(($B$83:$B$88=A120)*($D$83:$D$88="Wages: person 2")*$C$83:$C$88)*O120</f>
        <v/>
      </c>
      <c r="Y120" s="15">
        <f>T120*$B$9*O120</f>
        <v/>
      </c>
      <c r="Z120" s="15">
        <f>U120*$B$10*O120</f>
        <v/>
      </c>
      <c r="AA120" s="15">
        <f>T120*$B$11*O120</f>
        <v/>
      </c>
      <c r="AB120" s="15">
        <f>U120*$B$12*O120</f>
        <v/>
      </c>
      <c r="AC120" s="15">
        <f>V120*$B$13*O120</f>
        <v/>
      </c>
      <c r="AD120" s="15">
        <f>W120+X120</f>
        <v/>
      </c>
      <c r="AE120" s="15">
        <f>AD120-Y120-Z120-AC120</f>
        <v/>
      </c>
      <c r="AF120" s="15">
        <f>0.062*MIN(W120,tax_tables!$B$21*P120)+0.062*MIN(X120,tax_tables!$B$21*P120)+0.0145*AD120+0.009*MAX(0,AD120-tax_tables!$B$22)</f>
        <v/>
      </c>
      <c r="AG120" s="15">
        <f>$B$14*AE120</f>
        <v/>
      </c>
      <c r="AH120" s="15">
        <f>AD120-Y120-Z120-AC120-AF120-AG120</f>
        <v/>
      </c>
      <c r="AI120" s="15">
        <f>SUMPRODUCT(($B$83:$B$88=A120)*($D$83:$D$88="Other taxable income")*$C$83:$C$88)*O120</f>
        <v/>
      </c>
      <c r="AJ120" s="15">
        <f>SUMPRODUCT(($B$83:$B$88=A120)*($D$83:$D$88="Tax-free money in")*$C$83:$C$88)*O120</f>
        <v/>
      </c>
      <c r="AK120" s="15">
        <f>SUMPRODUCT(($B$83:$B$88=A120)*($D$83:$D$88="Expense")*$C$83:$C$88)*O120</f>
        <v/>
      </c>
      <c r="AL120" s="12">
        <f>IF(OR($B$75="",A120&lt;$B$75),1,0)</f>
        <v/>
      </c>
      <c r="AM120" s="15">
        <f>AP119</f>
        <v/>
      </c>
      <c r="AN120" s="15">
        <f>AL120*AM120*properties!$J$2</f>
        <v/>
      </c>
      <c r="AO120" s="15">
        <f>AL120*MIN(properties!$K$2,AM120+AN120)</f>
        <v/>
      </c>
      <c r="AP120" s="15">
        <f>AL120*(AM120+AN120-AO120)</f>
        <v/>
      </c>
      <c r="AQ120" s="15">
        <f>AL120*properties!$G$2*O120</f>
        <v/>
      </c>
      <c r="AR120" s="15">
        <f>(1-AL120)*$E$75*O120</f>
        <v/>
      </c>
      <c r="AS120" s="15">
        <f>AO120+AQ120+AR120</f>
        <v/>
      </c>
      <c r="AT120" s="15">
        <f>SUMIF(budget!$A$2:$A$300,"household",budget!$F$2:$F$300)*O120*IF(N120="",1,N120)</f>
        <v/>
      </c>
      <c r="AU120" s="15">
        <f>SUMPRODUCT((other_budget!$C$2:$C$30&lt;=A120)*(other_budget!$D$2:$D$30&gt;=A120)*other_budget!$B$2:$B$30)*O120</f>
        <v/>
      </c>
      <c r="AV120" s="15">
        <f>SUMPRODUCT((kids_budget!$D$2:$D$40&lt;=A120)*(kids_budget!$E$2:$E$40&gt;=A120)*(kids_budget!$G$2:$G$40&lt;&gt;"college_funds")*kids_budget!$C$2:$C$40*((kids_budget!$F$2:$F$40="college")*R120+(kids_budget!$F$2:$F$40&lt;&gt;"college")*O120))</f>
        <v/>
      </c>
      <c r="AW120" s="15">
        <f>SUMPRODUCT((kids_budget!$D$2:$D$40&lt;=A120)*(kids_budget!$E$2:$E$40&gt;=A120)*(kids_budget!$G$2:$G$40="college_funds")*kids_budget!$C$2:$C$40*((kids_budget!$F$2:$F$40="college")*R120+(kids_budget!$F$2:$F$40&lt;&gt;"college")*O120))</f>
        <v/>
      </c>
      <c r="AX120" s="15">
        <f>BA119</f>
        <v/>
      </c>
      <c r="AY120" s="15">
        <f>MIN(AW120,AX120*(1+M120))</f>
        <v/>
      </c>
      <c r="AZ120" s="15">
        <f>AW120-AY120</f>
        <v/>
      </c>
      <c r="BA120" s="15">
        <f>AX120*(1+M120)-AY120</f>
        <v/>
      </c>
      <c r="BB120" s="15">
        <f>V120*healthcare!$B$5*Q120</f>
        <v/>
      </c>
      <c r="BC120" s="12">
        <f>(1-V120)*((B120&lt;65)+(C120&lt;65))</f>
        <v/>
      </c>
      <c r="BD120" s="12">
        <f>COUNTIF(household!$C$16:$C$23,"&gt;="&amp;A120)</f>
        <v/>
      </c>
      <c r="BE120" s="15">
        <f>(BC120*healthcare!$B$2+IF(BC120&gt;0,BD120,0)*healthcare!$B$3)*12*Q120</f>
        <v/>
      </c>
      <c r="BF120" s="15">
        <f>IF(BC120&gt;0,(BC120+BD120)*healthcare!$B$4*Q120,0)</f>
        <v/>
      </c>
      <c r="BG120" s="12">
        <f>(B120&gt;=65)+(C120&gt;=65)</f>
        <v/>
      </c>
      <c r="BH120" s="15">
        <f>BG120*(healthcare!$B$6+healthcare!$B$7+healthcare!$B$8)*12*Q120</f>
        <v/>
      </c>
      <c r="BI120" s="15">
        <f>BG120*healthcare!$B$9*Q120</f>
        <v/>
      </c>
      <c r="BJ120" s="15">
        <f>BG120*12*O120*SUMPRODUCT((DK118&gt;tax_tables!$Q$5:$Q$9*P120)*tax_tables!$T$5:$T$9)</f>
        <v/>
      </c>
      <c r="BK120" s="12">
        <f>AND(B120&gt;=$B$51,B120&lt;$B$51+$B$52)*1+AND(C120&gt;=$B$53,C120&lt;$B$53+$B$54)*1</f>
        <v/>
      </c>
      <c r="BL120" s="15">
        <f>BK120*$B$55*S120</f>
        <v/>
      </c>
      <c r="BM120" s="15">
        <f>BB120+BE120+BF120+BH120+BI120+BJ120+BL120</f>
        <v/>
      </c>
      <c r="BN120" s="15">
        <f>BP119</f>
        <v/>
      </c>
      <c r="BO120" s="15">
        <f>IF(V120=1,0,MIN(BN120*(1+M120),BF120+BG120*(healthcare!$B$6+healthcare!$B$7)*12*Q120+BI120+BJ120+BL120))</f>
        <v/>
      </c>
      <c r="BP120" s="15">
        <f>BN120*(1+M120)-BO120+AC120-CV120</f>
        <v/>
      </c>
      <c r="BQ120" s="15">
        <f>SUMPRODUCT((1-($B$76:$B$79&gt;0)*(A120&gt;=$B$76:$B$79))*(1-(($C$76:$C$79&gt;0)*(A120&gt;=$C$76:$C$79)))*(properties!$L$3:$L$6-properties!$M$3:$M$6))*O120+SUMPRODUCT((1-($B$76:$B$79&gt;0)*(A120&gt;=$B$76:$B$79))*(($C$76:$C$79&gt;0)*(A120&gt;=$C$76:$C$79))*($D$76:$D$79-$E$76:$E$79))*O120</f>
        <v/>
      </c>
      <c r="BR120" s="15">
        <f>SUMPRODUCT((1-($B$76:$B$79&gt;0)*(A120&gt;=$B$76:$B$79))*properties!$N$3:$N$6*(A120&lt;=properties!$O$3:$O$6))</f>
        <v/>
      </c>
      <c r="BS120" s="15">
        <f>MAX(0,BQ120-BR120)</f>
        <v/>
      </c>
      <c r="BT120" s="15">
        <f>SUMPRODUCT(($B$75:$B$79=A120)*$G$75:$G$79)</f>
        <v/>
      </c>
      <c r="BU120" s="15">
        <f>SUMPRODUCT(($B$75:$B$79=A120)*$H$75:$H$79)</f>
        <v/>
      </c>
      <c r="BV120" s="15">
        <f>SUMPRODUCT(($B$75:$B$79=A120)*$I$75:$I$79)</f>
        <v/>
      </c>
      <c r="BW120" s="15">
        <f>AL120*properties!$C$2*(1+properties!$D$2)^(A120-household!$B$4+1)</f>
        <v/>
      </c>
      <c r="BX120" s="15">
        <f>SUMPRODUCT((1-($B$76:$B$79&gt;0)*(A120&gt;=$B$76:$B$79))*properties!$C$3:$C$6*(1+properties!$D$3:$D$6)^(A120-household!$B$4+1))</f>
        <v/>
      </c>
      <c r="BY120" s="15">
        <f>IF(A120&gt;=$B$31,IF(A120&gt;=$B$32,MAX(household!$B$11*12*(1-$B$28)*O120*IF(A120&gt;=$B$30,1-$B$29,1)*$B$33,0.5*household!$B$12*12*(1-$B$28)*O120*IF(A120&gt;=$B$30,1-$B$29,1)*$B$35),household!$B$11*12*(1-$B$28)*O120*IF(A120&gt;=$B$30,1-$B$29,1)*$B$33),0)</f>
        <v/>
      </c>
      <c r="BZ120" s="15">
        <f>IF(A120&gt;=$B$32,IF(A120&gt;=$B$31,MAX(household!$B$12*12*(1-$B$28)*O120*IF(A120&gt;=$B$30,1-$B$29,1)*$B$34,0.5*household!$B$11*12*(1-$B$28)*O120*IF(A120&gt;=$B$30,1-$B$29,1)*$B$36),household!$B$12*12*(1-$B$28)*O120*IF(A120&gt;=$B$30,1-$B$29,1)*$B$34),0)</f>
        <v/>
      </c>
      <c r="CA120" s="15">
        <f>IF(AND($B$43&lt;&gt;0,A120&gt;=household!$B$6+$B$44),$B$43*(1+$B$18)^(MAX(household!$B$6+$B$44,household!$B$4-1)-household!$B$4+1)*(1+$B$47*$B$18)^(A120-MAX(household!$B$6+$B$44,household!$B$4-1)),0)</f>
        <v/>
      </c>
      <c r="CB120" s="15">
        <f>IF(AND($B$45&lt;&gt;0,A120&gt;=household!$B$9+$B$46),$B$45*(1+$B$18)^(MAX(household!$B$9+$B$46,household!$B$4-1)-household!$B$4+1)*(1+$B$47*$B$18)^(A120-MAX(household!$B$9+$B$46,household!$B$4-1)),0)</f>
        <v/>
      </c>
      <c r="CC120" s="15">
        <f>DC119</f>
        <v/>
      </c>
      <c r="CD120" s="15">
        <f>DD119</f>
        <v/>
      </c>
      <c r="CE120" s="15">
        <f>$B$20*CC120</f>
        <v/>
      </c>
      <c r="CF120" s="15">
        <f>DE119</f>
        <v/>
      </c>
      <c r="CG120" s="15">
        <f>DF119</f>
        <v/>
      </c>
      <c r="CH120" s="15">
        <f>IF(B120&gt;=$B$71,MAX(0,CF120)/INDEX(tax_tables!$Z$5:$Z$53,MATCH(B120,tax_tables!$Y$5:$Y$53,0)),0)</f>
        <v/>
      </c>
      <c r="CI120" s="15">
        <f>IF(C120&gt;=$B$72,MAX(0,CG120)/INDEX(tax_tables!$Z$5:$Z$53,MATCH(C120,tax_tables!$Y$5:$Y$53,0)),0)</f>
        <v/>
      </c>
      <c r="CJ120" s="15">
        <f>DG119</f>
        <v/>
      </c>
      <c r="CK120" s="15">
        <f>IF(OR($B$59="",$B$60=""),0,IF(AND(A120&gt;=$B$59,A120&lt;=$B$60),$B$58*O120,0))</f>
        <v/>
      </c>
      <c r="CL120" s="15">
        <f>MAX(0,CF120*(1+M120)-CH120)</f>
        <v/>
      </c>
      <c r="CM120" s="15">
        <f>MAX(0,CG120*(1+M120)-CI120)</f>
        <v/>
      </c>
      <c r="CN120" s="15">
        <f>EB119-AG119</f>
        <v/>
      </c>
      <c r="CO120" s="15">
        <f>AH120+F120+CA120+CB120+BQ120+CE120+CH120+CI120+BT120+AI120+AJ120+BO120</f>
        <v/>
      </c>
      <c r="CP120" s="15">
        <f>D120+CN120-CO120</f>
        <v/>
      </c>
      <c r="CQ120" s="15">
        <f>MAX(0,MIN(CP120,CC120*(1+M120-$B$20)))</f>
        <v/>
      </c>
      <c r="CR120" s="15">
        <f>MAX(0,MIN(CP120-CQ120,CL120+CM120))</f>
        <v/>
      </c>
      <c r="CS120" s="15">
        <f>IF(CL120+CM120&gt;1,CR120*CL120/(CL120+CM120),0)</f>
        <v/>
      </c>
      <c r="CT120" s="15">
        <f>CR120-CS120</f>
        <v/>
      </c>
      <c r="CU120" s="15">
        <f>MAX(0,MIN(CP120-CQ120-CR120,CJ120*(1+M120)))</f>
        <v/>
      </c>
      <c r="CV120" s="15">
        <f>MAX(0,MIN(CP120-CQ120-CR120-CU120,BN120*(1+M120)-BO120+AC120))</f>
        <v/>
      </c>
      <c r="CW120" s="15">
        <f>MAX(0,-CP120)</f>
        <v/>
      </c>
      <c r="CX120" s="15">
        <f>MIN(CK120,CL120-CS120+CM120-CT120)</f>
        <v/>
      </c>
      <c r="CY120" s="15">
        <f>IF(CL120-CS120+CM120-CT120&gt;1,CX120*(CL120-CS120)/(CL120-CS120+CM120-CT120),0)</f>
        <v/>
      </c>
      <c r="CZ120" s="15">
        <f>CX120-CY120</f>
        <v/>
      </c>
      <c r="DA120" s="22">
        <f>IF(CC120&gt;0,MAX(0,1-CD120/CC120),0)</f>
        <v/>
      </c>
      <c r="DB120" s="15">
        <f>CQ120*DA120</f>
        <v/>
      </c>
      <c r="DC120" s="15">
        <f>CC120*(1+M120-$B$20)-CQ120+CW120</f>
        <v/>
      </c>
      <c r="DD120" s="15">
        <f>CD120-(CQ120-DB120)+CW120</f>
        <v/>
      </c>
      <c r="DE120" s="15">
        <f>CF120*(1+M120)-CH120-CS120-CY120+Y120+AA120</f>
        <v/>
      </c>
      <c r="DF120" s="15">
        <f>CG120*(1+M120)-CI120-CT120-CZ120+Z120+AB120</f>
        <v/>
      </c>
      <c r="DG120" s="15">
        <f>CJ120*(1+M120)-CU120+CX120</f>
        <v/>
      </c>
      <c r="DH120" s="15">
        <f>AE120+CR120+CH120+CI120+CX120+CV120+BS120+AI120+CA120+CB120</f>
        <v/>
      </c>
      <c r="DI120" s="15">
        <f>CE120+DB120+BU120</f>
        <v/>
      </c>
      <c r="DJ120" s="15">
        <f>IF((DH120+DI120+0.5*F120)&lt;=tax_tables!$B$14,0,IF((DH120+DI120+0.5*F120)&lt;=tax_tables!$B$15,MIN(0.5*F120,0.5*((DH120+DI120+0.5*F120)-tax_tables!$B$14)),MIN(0.85*F120,0.85*((DH120+DI120+0.5*F120)-tax_tables!$B$15)+MIN(0.5*F120,tax_tables!$B$15-tax_tables!$B$14))))</f>
        <v/>
      </c>
      <c r="DK120" s="15">
        <f>DH120+DI120+DJ120</f>
        <v/>
      </c>
      <c r="DL120" s="12">
        <f>(B120&gt;=65)+(C120&gt;=65)</f>
        <v/>
      </c>
      <c r="DM120" s="15">
        <f>(tax_tables!$B$5+tax_tables!$B$6*DL120)*P120</f>
        <v/>
      </c>
      <c r="DN120" s="15">
        <f>IF(AND(A120&gt;=tax_tables!$B$8,A120&lt;=tax_tables!$B$9),DL120*MAX(0,tax_tables!$B$7-tax_tables!$B$11*MAX(0,DK120-tax_tables!$B$10)),0)</f>
        <v/>
      </c>
      <c r="DO120" s="15">
        <f>IFERROR(MAX(tax_tables!$B$16,INDEX(tax_tables!$W$5:$W$8,MATCH(A120,tax_tables!$V$5:$V$8,0))-tax_tables!$B$18*MAX(0,DK120-tax_tables!$B$17*1.01^(A120-tax_tables!$B$4))),tax_tables!$B$16)</f>
        <v/>
      </c>
      <c r="DP120" s="15">
        <f>MAX(0,BM120-BB120-tax_tables!$B$23*DK120)</f>
        <v/>
      </c>
      <c r="DQ120" s="15">
        <f>AN120+MIN(DO120,DY119+DZ119+EA119+AL120*properties!$H$2*O120)+DP120+$B$61*O120</f>
        <v/>
      </c>
      <c r="DR120" s="15">
        <f>MAX(DM120,DQ120)</f>
        <v/>
      </c>
      <c r="DS120" s="15">
        <f>MAX(0,DH120+DJ120-DR120-DN120)</f>
        <v/>
      </c>
      <c r="DT120" s="15">
        <f>MAX(0,DI120-MAX(0,DR120+DN120-DH120-DJ120))</f>
        <v/>
      </c>
      <c r="DU120" s="15">
        <f>SUMPRODUCT((DS120&gt;tax_tables!$E$5:$E$16*P120)*(DS120-tax_tables!$E$5:$E$16*P120)*tax_tables!$G$5:$G$16)+SUMPRODUCT(((DS120+DT120)&gt;tax_tables!$I$5:$I$16*P120)*((DS120+DT120)-tax_tables!$I$5:$I$16*P120)*tax_tables!$K$5:$K$16)-SUMPRODUCT((DS120&gt;tax_tables!$I$5:$I$16*P120)*(DS120-tax_tables!$I$5:$I$16*P120)*tax_tables!$K$5:$K$16)+tax_tables!$B$19*BV120+tax_tables!$B$12*MIN(CE120+DB120+BS120+BU120,MAX(0,DK120-tax_tables!$B$13))</f>
        <v/>
      </c>
      <c r="DV120" s="12">
        <f>IF($B$39="",0,IF(A120&gt;=$B$39,1,0))</f>
        <v/>
      </c>
      <c r="DW120" s="15">
        <f>IF(B120+0.5&gt;=tax_tables!$B$30,MIN(CS120+CH120+CY120+CA120,tax_tables!$B$29),0)+IF(C120+0.5&gt;=tax_tables!$B$30,MIN(CT120+CI120+CZ120+CB120,tax_tables!$B$29),0)</f>
        <v/>
      </c>
      <c r="DX120" s="15">
        <f>MAX(0,DK120-tax_tables!$B$28*DJ120-DW120-tax_tables!$B$26*IF(tax_tables!$B$27=1,P120,1))</f>
        <v/>
      </c>
      <c r="DY120" s="15">
        <f>(1-DV120)*SUMPRODUCT((DX120&gt;tax_tables!$M$5:$M$16*IF(tax_tables!$B$27=1,P120,1))*(DX120-tax_tables!$M$5:$M$16*IF(tax_tables!$B$27=1,P120,1))*tax_tables!$O$5:$O$16)</f>
        <v/>
      </c>
      <c r="DZ120" s="15">
        <f>(1-DV120)*tax_tables!$B$31*DX120</f>
        <v/>
      </c>
      <c r="EA120" s="15">
        <f>DV120*$B$40*MAX(0,DK120-DJ120)</f>
        <v/>
      </c>
      <c r="EB120" s="15">
        <f>DU120+DY120+DZ120+EA120</f>
        <v/>
      </c>
      <c r="EC120" s="15">
        <f>DC120+DE120+DF120+DG120+BP120</f>
        <v/>
      </c>
      <c r="ED120" s="15">
        <f>EC120+BW120-AP120+BX120</f>
        <v/>
      </c>
    </row>
    <row r="121">
      <c r="A121" s="12">
        <f>A120+1</f>
        <v/>
      </c>
      <c r="B121" s="12">
        <f>A121-household!$B$6</f>
        <v/>
      </c>
      <c r="C121" s="12">
        <f>A121-household!$B$9</f>
        <v/>
      </c>
      <c r="D121" s="15">
        <f>AS121+AT121+AU121+AV121+AZ121+BM121+AK121</f>
        <v/>
      </c>
      <c r="E121" s="15">
        <f>CN121+AG121+AF121</f>
        <v/>
      </c>
      <c r="F121" s="15">
        <f>BY121+BZ121</f>
        <v/>
      </c>
      <c r="G121" s="15">
        <f>CQ121+CR121+CU121+CH121+CI121+CE121-CW121+CV121+BO121</f>
        <v/>
      </c>
      <c r="H121" s="22">
        <f>IF(CC121+CF121+CG121+CJ121+BN121&lt;=0,"",G121/(CC121+CF121+CG121+CJ121+BN121))</f>
        <v/>
      </c>
      <c r="I121" s="23">
        <f>EC121/O121</f>
        <v/>
      </c>
      <c r="J121" s="23">
        <f>ED121/O121</f>
        <v/>
      </c>
      <c r="K121" s="15">
        <f>MAX(0,CP121-CQ121-CR121-CU121-CV121)</f>
        <v/>
      </c>
      <c r="L121" s="11" t="n"/>
      <c r="M121" s="22">
        <f>IF(L121="",$B$19,L121)</f>
        <v/>
      </c>
      <c r="N121" s="14" t="n"/>
      <c r="O121" s="13">
        <f>(1+$B$18)^(A121-household!$B$4+1)</f>
        <v/>
      </c>
      <c r="P121" s="13">
        <f>(1+$B$18)^(A121-tax_tables!$B$4)</f>
        <v/>
      </c>
      <c r="Q121" s="13">
        <f>(1+$B$21)^(A121-household!$B$4+1)</f>
        <v/>
      </c>
      <c r="R121" s="13">
        <f>(1+$B$22)^(A121-household!$B$4+1)</f>
        <v/>
      </c>
      <c r="S121" s="13">
        <f>(1+$B$23)^(A121-household!$B$4+1)</f>
        <v/>
      </c>
      <c r="T121" s="12">
        <f>IF(A121&lt;$B$5,1,0)</f>
        <v/>
      </c>
      <c r="U121" s="12">
        <f>IF(A121&lt;$B$6,1,0)</f>
        <v/>
      </c>
      <c r="V121" s="12">
        <f>IF(T121+U121&gt;0,1,0)</f>
        <v/>
      </c>
      <c r="W121" s="15">
        <f>T121*$B$7*O121+SUMPRODUCT(($B$83:$B$88=A121)*($D$83:$D$88="Wages: person 1")*$C$83:$C$88)*O121</f>
        <v/>
      </c>
      <c r="X121" s="15">
        <f>U121*$B$8*O121+SUMPRODUCT(($B$83:$B$88=A121)*($D$83:$D$88="Wages: person 2")*$C$83:$C$88)*O121</f>
        <v/>
      </c>
      <c r="Y121" s="15">
        <f>T121*$B$9*O121</f>
        <v/>
      </c>
      <c r="Z121" s="15">
        <f>U121*$B$10*O121</f>
        <v/>
      </c>
      <c r="AA121" s="15">
        <f>T121*$B$11*O121</f>
        <v/>
      </c>
      <c r="AB121" s="15">
        <f>U121*$B$12*O121</f>
        <v/>
      </c>
      <c r="AC121" s="15">
        <f>V121*$B$13*O121</f>
        <v/>
      </c>
      <c r="AD121" s="15">
        <f>W121+X121</f>
        <v/>
      </c>
      <c r="AE121" s="15">
        <f>AD121-Y121-Z121-AC121</f>
        <v/>
      </c>
      <c r="AF121" s="15">
        <f>0.062*MIN(W121,tax_tables!$B$21*P121)+0.062*MIN(X121,tax_tables!$B$21*P121)+0.0145*AD121+0.009*MAX(0,AD121-tax_tables!$B$22)</f>
        <v/>
      </c>
      <c r="AG121" s="15">
        <f>$B$14*AE121</f>
        <v/>
      </c>
      <c r="AH121" s="15">
        <f>AD121-Y121-Z121-AC121-AF121-AG121</f>
        <v/>
      </c>
      <c r="AI121" s="15">
        <f>SUMPRODUCT(($B$83:$B$88=A121)*($D$83:$D$88="Other taxable income")*$C$83:$C$88)*O121</f>
        <v/>
      </c>
      <c r="AJ121" s="15">
        <f>SUMPRODUCT(($B$83:$B$88=A121)*($D$83:$D$88="Tax-free money in")*$C$83:$C$88)*O121</f>
        <v/>
      </c>
      <c r="AK121" s="15">
        <f>SUMPRODUCT(($B$83:$B$88=A121)*($D$83:$D$88="Expense")*$C$83:$C$88)*O121</f>
        <v/>
      </c>
      <c r="AL121" s="12">
        <f>IF(OR($B$75="",A121&lt;$B$75),1,0)</f>
        <v/>
      </c>
      <c r="AM121" s="15">
        <f>AP120</f>
        <v/>
      </c>
      <c r="AN121" s="15">
        <f>AL121*AM121*properties!$J$2</f>
        <v/>
      </c>
      <c r="AO121" s="15">
        <f>AL121*MIN(properties!$K$2,AM121+AN121)</f>
        <v/>
      </c>
      <c r="AP121" s="15">
        <f>AL121*(AM121+AN121-AO121)</f>
        <v/>
      </c>
      <c r="AQ121" s="15">
        <f>AL121*properties!$G$2*O121</f>
        <v/>
      </c>
      <c r="AR121" s="15">
        <f>(1-AL121)*$E$75*O121</f>
        <v/>
      </c>
      <c r="AS121" s="15">
        <f>AO121+AQ121+AR121</f>
        <v/>
      </c>
      <c r="AT121" s="15">
        <f>SUMIF(budget!$A$2:$A$300,"household",budget!$F$2:$F$300)*O121*IF(N121="",1,N121)</f>
        <v/>
      </c>
      <c r="AU121" s="15">
        <f>SUMPRODUCT((other_budget!$C$2:$C$30&lt;=A121)*(other_budget!$D$2:$D$30&gt;=A121)*other_budget!$B$2:$B$30)*O121</f>
        <v/>
      </c>
      <c r="AV121" s="15">
        <f>SUMPRODUCT((kids_budget!$D$2:$D$40&lt;=A121)*(kids_budget!$E$2:$E$40&gt;=A121)*(kids_budget!$G$2:$G$40&lt;&gt;"college_funds")*kids_budget!$C$2:$C$40*((kids_budget!$F$2:$F$40="college")*R121+(kids_budget!$F$2:$F$40&lt;&gt;"college")*O121))</f>
        <v/>
      </c>
      <c r="AW121" s="15">
        <f>SUMPRODUCT((kids_budget!$D$2:$D$40&lt;=A121)*(kids_budget!$E$2:$E$40&gt;=A121)*(kids_budget!$G$2:$G$40="college_funds")*kids_budget!$C$2:$C$40*((kids_budget!$F$2:$F$40="college")*R121+(kids_budget!$F$2:$F$40&lt;&gt;"college")*O121))</f>
        <v/>
      </c>
      <c r="AX121" s="15">
        <f>BA120</f>
        <v/>
      </c>
      <c r="AY121" s="15">
        <f>MIN(AW121,AX121*(1+M121))</f>
        <v/>
      </c>
      <c r="AZ121" s="15">
        <f>AW121-AY121</f>
        <v/>
      </c>
      <c r="BA121" s="15">
        <f>AX121*(1+M121)-AY121</f>
        <v/>
      </c>
      <c r="BB121" s="15">
        <f>V121*healthcare!$B$5*Q121</f>
        <v/>
      </c>
      <c r="BC121" s="12">
        <f>(1-V121)*((B121&lt;65)+(C121&lt;65))</f>
        <v/>
      </c>
      <c r="BD121" s="12">
        <f>COUNTIF(household!$C$16:$C$23,"&gt;="&amp;A121)</f>
        <v/>
      </c>
      <c r="BE121" s="15">
        <f>(BC121*healthcare!$B$2+IF(BC121&gt;0,BD121,0)*healthcare!$B$3)*12*Q121</f>
        <v/>
      </c>
      <c r="BF121" s="15">
        <f>IF(BC121&gt;0,(BC121+BD121)*healthcare!$B$4*Q121,0)</f>
        <v/>
      </c>
      <c r="BG121" s="12">
        <f>(B121&gt;=65)+(C121&gt;=65)</f>
        <v/>
      </c>
      <c r="BH121" s="15">
        <f>BG121*(healthcare!$B$6+healthcare!$B$7+healthcare!$B$8)*12*Q121</f>
        <v/>
      </c>
      <c r="BI121" s="15">
        <f>BG121*healthcare!$B$9*Q121</f>
        <v/>
      </c>
      <c r="BJ121" s="15">
        <f>BG121*12*O121*SUMPRODUCT((DK119&gt;tax_tables!$Q$5:$Q$9*P121)*tax_tables!$T$5:$T$9)</f>
        <v/>
      </c>
      <c r="BK121" s="12">
        <f>AND(B121&gt;=$B$51,B121&lt;$B$51+$B$52)*1+AND(C121&gt;=$B$53,C121&lt;$B$53+$B$54)*1</f>
        <v/>
      </c>
      <c r="BL121" s="15">
        <f>BK121*$B$55*S121</f>
        <v/>
      </c>
      <c r="BM121" s="15">
        <f>BB121+BE121+BF121+BH121+BI121+BJ121+BL121</f>
        <v/>
      </c>
      <c r="BN121" s="15">
        <f>BP120</f>
        <v/>
      </c>
      <c r="BO121" s="15">
        <f>IF(V121=1,0,MIN(BN121*(1+M121),BF121+BG121*(healthcare!$B$6+healthcare!$B$7)*12*Q121+BI121+BJ121+BL121))</f>
        <v/>
      </c>
      <c r="BP121" s="15">
        <f>BN121*(1+M121)-BO121+AC121-CV121</f>
        <v/>
      </c>
      <c r="BQ121" s="15">
        <f>SUMPRODUCT((1-($B$76:$B$79&gt;0)*(A121&gt;=$B$76:$B$79))*(1-(($C$76:$C$79&gt;0)*(A121&gt;=$C$76:$C$79)))*(properties!$L$3:$L$6-properties!$M$3:$M$6))*O121+SUMPRODUCT((1-($B$76:$B$79&gt;0)*(A121&gt;=$B$76:$B$79))*(($C$76:$C$79&gt;0)*(A121&gt;=$C$76:$C$79))*($D$76:$D$79-$E$76:$E$79))*O121</f>
        <v/>
      </c>
      <c r="BR121" s="15">
        <f>SUMPRODUCT((1-($B$76:$B$79&gt;0)*(A121&gt;=$B$76:$B$79))*properties!$N$3:$N$6*(A121&lt;=properties!$O$3:$O$6))</f>
        <v/>
      </c>
      <c r="BS121" s="15">
        <f>MAX(0,BQ121-BR121)</f>
        <v/>
      </c>
      <c r="BT121" s="15">
        <f>SUMPRODUCT(($B$75:$B$79=A121)*$G$75:$G$79)</f>
        <v/>
      </c>
      <c r="BU121" s="15">
        <f>SUMPRODUCT(($B$75:$B$79=A121)*$H$75:$H$79)</f>
        <v/>
      </c>
      <c r="BV121" s="15">
        <f>SUMPRODUCT(($B$75:$B$79=A121)*$I$75:$I$79)</f>
        <v/>
      </c>
      <c r="BW121" s="15">
        <f>AL121*properties!$C$2*(1+properties!$D$2)^(A121-household!$B$4+1)</f>
        <v/>
      </c>
      <c r="BX121" s="15">
        <f>SUMPRODUCT((1-($B$76:$B$79&gt;0)*(A121&gt;=$B$76:$B$79))*properties!$C$3:$C$6*(1+properties!$D$3:$D$6)^(A121-household!$B$4+1))</f>
        <v/>
      </c>
      <c r="BY121" s="15">
        <f>IF(A121&gt;=$B$31,IF(A121&gt;=$B$32,MAX(household!$B$11*12*(1-$B$28)*O121*IF(A121&gt;=$B$30,1-$B$29,1)*$B$33,0.5*household!$B$12*12*(1-$B$28)*O121*IF(A121&gt;=$B$30,1-$B$29,1)*$B$35),household!$B$11*12*(1-$B$28)*O121*IF(A121&gt;=$B$30,1-$B$29,1)*$B$33),0)</f>
        <v/>
      </c>
      <c r="BZ121" s="15">
        <f>IF(A121&gt;=$B$32,IF(A121&gt;=$B$31,MAX(household!$B$12*12*(1-$B$28)*O121*IF(A121&gt;=$B$30,1-$B$29,1)*$B$34,0.5*household!$B$11*12*(1-$B$28)*O121*IF(A121&gt;=$B$30,1-$B$29,1)*$B$36),household!$B$12*12*(1-$B$28)*O121*IF(A121&gt;=$B$30,1-$B$29,1)*$B$34),0)</f>
        <v/>
      </c>
      <c r="CA121" s="15">
        <f>IF(AND($B$43&lt;&gt;0,A121&gt;=household!$B$6+$B$44),$B$43*(1+$B$18)^(MAX(household!$B$6+$B$44,household!$B$4-1)-household!$B$4+1)*(1+$B$47*$B$18)^(A121-MAX(household!$B$6+$B$44,household!$B$4-1)),0)</f>
        <v/>
      </c>
      <c r="CB121" s="15">
        <f>IF(AND($B$45&lt;&gt;0,A121&gt;=household!$B$9+$B$46),$B$45*(1+$B$18)^(MAX(household!$B$9+$B$46,household!$B$4-1)-household!$B$4+1)*(1+$B$47*$B$18)^(A121-MAX(household!$B$9+$B$46,household!$B$4-1)),0)</f>
        <v/>
      </c>
      <c r="CC121" s="15">
        <f>DC120</f>
        <v/>
      </c>
      <c r="CD121" s="15">
        <f>DD120</f>
        <v/>
      </c>
      <c r="CE121" s="15">
        <f>$B$20*CC121</f>
        <v/>
      </c>
      <c r="CF121" s="15">
        <f>DE120</f>
        <v/>
      </c>
      <c r="CG121" s="15">
        <f>DF120</f>
        <v/>
      </c>
      <c r="CH121" s="15">
        <f>IF(B121&gt;=$B$71,MAX(0,CF121)/INDEX(tax_tables!$Z$5:$Z$53,MATCH(B121,tax_tables!$Y$5:$Y$53,0)),0)</f>
        <v/>
      </c>
      <c r="CI121" s="15">
        <f>IF(C121&gt;=$B$72,MAX(0,CG121)/INDEX(tax_tables!$Z$5:$Z$53,MATCH(C121,tax_tables!$Y$5:$Y$53,0)),0)</f>
        <v/>
      </c>
      <c r="CJ121" s="15">
        <f>DG120</f>
        <v/>
      </c>
      <c r="CK121" s="15">
        <f>IF(OR($B$59="",$B$60=""),0,IF(AND(A121&gt;=$B$59,A121&lt;=$B$60),$B$58*O121,0))</f>
        <v/>
      </c>
      <c r="CL121" s="15">
        <f>MAX(0,CF121*(1+M121)-CH121)</f>
        <v/>
      </c>
      <c r="CM121" s="15">
        <f>MAX(0,CG121*(1+M121)-CI121)</f>
        <v/>
      </c>
      <c r="CN121" s="15">
        <f>EB120-AG120</f>
        <v/>
      </c>
      <c r="CO121" s="15">
        <f>AH121+F121+CA121+CB121+BQ121+CE121+CH121+CI121+BT121+AI121+AJ121+BO121</f>
        <v/>
      </c>
      <c r="CP121" s="15">
        <f>D121+CN121-CO121</f>
        <v/>
      </c>
      <c r="CQ121" s="15">
        <f>MAX(0,MIN(CP121,CC121*(1+M121-$B$20)))</f>
        <v/>
      </c>
      <c r="CR121" s="15">
        <f>MAX(0,MIN(CP121-CQ121,CL121+CM121))</f>
        <v/>
      </c>
      <c r="CS121" s="15">
        <f>IF(CL121+CM121&gt;1,CR121*CL121/(CL121+CM121),0)</f>
        <v/>
      </c>
      <c r="CT121" s="15">
        <f>CR121-CS121</f>
        <v/>
      </c>
      <c r="CU121" s="15">
        <f>MAX(0,MIN(CP121-CQ121-CR121,CJ121*(1+M121)))</f>
        <v/>
      </c>
      <c r="CV121" s="15">
        <f>MAX(0,MIN(CP121-CQ121-CR121-CU121,BN121*(1+M121)-BO121+AC121))</f>
        <v/>
      </c>
      <c r="CW121" s="15">
        <f>MAX(0,-CP121)</f>
        <v/>
      </c>
      <c r="CX121" s="15">
        <f>MIN(CK121,CL121-CS121+CM121-CT121)</f>
        <v/>
      </c>
      <c r="CY121" s="15">
        <f>IF(CL121-CS121+CM121-CT121&gt;1,CX121*(CL121-CS121)/(CL121-CS121+CM121-CT121),0)</f>
        <v/>
      </c>
      <c r="CZ121" s="15">
        <f>CX121-CY121</f>
        <v/>
      </c>
      <c r="DA121" s="22">
        <f>IF(CC121&gt;0,MAX(0,1-CD121/CC121),0)</f>
        <v/>
      </c>
      <c r="DB121" s="15">
        <f>CQ121*DA121</f>
        <v/>
      </c>
      <c r="DC121" s="15">
        <f>CC121*(1+M121-$B$20)-CQ121+CW121</f>
        <v/>
      </c>
      <c r="DD121" s="15">
        <f>CD121-(CQ121-DB121)+CW121</f>
        <v/>
      </c>
      <c r="DE121" s="15">
        <f>CF121*(1+M121)-CH121-CS121-CY121+Y121+AA121</f>
        <v/>
      </c>
      <c r="DF121" s="15">
        <f>CG121*(1+M121)-CI121-CT121-CZ121+Z121+AB121</f>
        <v/>
      </c>
      <c r="DG121" s="15">
        <f>CJ121*(1+M121)-CU121+CX121</f>
        <v/>
      </c>
      <c r="DH121" s="15">
        <f>AE121+CR121+CH121+CI121+CX121+CV121+BS121+AI121+CA121+CB121</f>
        <v/>
      </c>
      <c r="DI121" s="15">
        <f>CE121+DB121+BU121</f>
        <v/>
      </c>
      <c r="DJ121" s="15">
        <f>IF((DH121+DI121+0.5*F121)&lt;=tax_tables!$B$14,0,IF((DH121+DI121+0.5*F121)&lt;=tax_tables!$B$15,MIN(0.5*F121,0.5*((DH121+DI121+0.5*F121)-tax_tables!$B$14)),MIN(0.85*F121,0.85*((DH121+DI121+0.5*F121)-tax_tables!$B$15)+MIN(0.5*F121,tax_tables!$B$15-tax_tables!$B$14))))</f>
        <v/>
      </c>
      <c r="DK121" s="15">
        <f>DH121+DI121+DJ121</f>
        <v/>
      </c>
      <c r="DL121" s="12">
        <f>(B121&gt;=65)+(C121&gt;=65)</f>
        <v/>
      </c>
      <c r="DM121" s="15">
        <f>(tax_tables!$B$5+tax_tables!$B$6*DL121)*P121</f>
        <v/>
      </c>
      <c r="DN121" s="15">
        <f>IF(AND(A121&gt;=tax_tables!$B$8,A121&lt;=tax_tables!$B$9),DL121*MAX(0,tax_tables!$B$7-tax_tables!$B$11*MAX(0,DK121-tax_tables!$B$10)),0)</f>
        <v/>
      </c>
      <c r="DO121" s="15">
        <f>IFERROR(MAX(tax_tables!$B$16,INDEX(tax_tables!$W$5:$W$8,MATCH(A121,tax_tables!$V$5:$V$8,0))-tax_tables!$B$18*MAX(0,DK121-tax_tables!$B$17*1.01^(A121-tax_tables!$B$4))),tax_tables!$B$16)</f>
        <v/>
      </c>
      <c r="DP121" s="15">
        <f>MAX(0,BM121-BB121-tax_tables!$B$23*DK121)</f>
        <v/>
      </c>
      <c r="DQ121" s="15">
        <f>AN121+MIN(DO121,DY120+DZ120+EA120+AL121*properties!$H$2*O121)+DP121+$B$61*O121</f>
        <v/>
      </c>
      <c r="DR121" s="15">
        <f>MAX(DM121,DQ121)</f>
        <v/>
      </c>
      <c r="DS121" s="15">
        <f>MAX(0,DH121+DJ121-DR121-DN121)</f>
        <v/>
      </c>
      <c r="DT121" s="15">
        <f>MAX(0,DI121-MAX(0,DR121+DN121-DH121-DJ121))</f>
        <v/>
      </c>
      <c r="DU121" s="15">
        <f>SUMPRODUCT((DS121&gt;tax_tables!$E$5:$E$16*P121)*(DS121-tax_tables!$E$5:$E$16*P121)*tax_tables!$G$5:$G$16)+SUMPRODUCT(((DS121+DT121)&gt;tax_tables!$I$5:$I$16*P121)*((DS121+DT121)-tax_tables!$I$5:$I$16*P121)*tax_tables!$K$5:$K$16)-SUMPRODUCT((DS121&gt;tax_tables!$I$5:$I$16*P121)*(DS121-tax_tables!$I$5:$I$16*P121)*tax_tables!$K$5:$K$16)+tax_tables!$B$19*BV121+tax_tables!$B$12*MIN(CE121+DB121+BS121+BU121,MAX(0,DK121-tax_tables!$B$13))</f>
        <v/>
      </c>
      <c r="DV121" s="12">
        <f>IF($B$39="",0,IF(A121&gt;=$B$39,1,0))</f>
        <v/>
      </c>
      <c r="DW121" s="15">
        <f>IF(B121+0.5&gt;=tax_tables!$B$30,MIN(CS121+CH121+CY121+CA121,tax_tables!$B$29),0)+IF(C121+0.5&gt;=tax_tables!$B$30,MIN(CT121+CI121+CZ121+CB121,tax_tables!$B$29),0)</f>
        <v/>
      </c>
      <c r="DX121" s="15">
        <f>MAX(0,DK121-tax_tables!$B$28*DJ121-DW121-tax_tables!$B$26*IF(tax_tables!$B$27=1,P121,1))</f>
        <v/>
      </c>
      <c r="DY121" s="15">
        <f>(1-DV121)*SUMPRODUCT((DX121&gt;tax_tables!$M$5:$M$16*IF(tax_tables!$B$27=1,P121,1))*(DX121-tax_tables!$M$5:$M$16*IF(tax_tables!$B$27=1,P121,1))*tax_tables!$O$5:$O$16)</f>
        <v/>
      </c>
      <c r="DZ121" s="15">
        <f>(1-DV121)*tax_tables!$B$31*DX121</f>
        <v/>
      </c>
      <c r="EA121" s="15">
        <f>DV121*$B$40*MAX(0,DK121-DJ121)</f>
        <v/>
      </c>
      <c r="EB121" s="15">
        <f>DU121+DY121+DZ121+EA121</f>
        <v/>
      </c>
      <c r="EC121" s="15">
        <f>DC121+DE121+DF121+DG121+BP121</f>
        <v/>
      </c>
      <c r="ED121" s="15">
        <f>EC121+BW121-AP121+BX121</f>
        <v/>
      </c>
    </row>
    <row r="122">
      <c r="A122" s="12">
        <f>A121+1</f>
        <v/>
      </c>
      <c r="B122" s="12">
        <f>A122-household!$B$6</f>
        <v/>
      </c>
      <c r="C122" s="12">
        <f>A122-household!$B$9</f>
        <v/>
      </c>
      <c r="D122" s="15">
        <f>AS122+AT122+AU122+AV122+AZ122+BM122+AK122</f>
        <v/>
      </c>
      <c r="E122" s="15">
        <f>CN122+AG122+AF122</f>
        <v/>
      </c>
      <c r="F122" s="15">
        <f>BY122+BZ122</f>
        <v/>
      </c>
      <c r="G122" s="15">
        <f>CQ122+CR122+CU122+CH122+CI122+CE122-CW122+CV122+BO122</f>
        <v/>
      </c>
      <c r="H122" s="22">
        <f>IF(CC122+CF122+CG122+CJ122+BN122&lt;=0,"",G122/(CC122+CF122+CG122+CJ122+BN122))</f>
        <v/>
      </c>
      <c r="I122" s="23">
        <f>EC122/O122</f>
        <v/>
      </c>
      <c r="J122" s="23">
        <f>ED122/O122</f>
        <v/>
      </c>
      <c r="K122" s="15">
        <f>MAX(0,CP122-CQ122-CR122-CU122-CV122)</f>
        <v/>
      </c>
      <c r="L122" s="11" t="n"/>
      <c r="M122" s="22">
        <f>IF(L122="",$B$19,L122)</f>
        <v/>
      </c>
      <c r="N122" s="14" t="n"/>
      <c r="O122" s="13">
        <f>(1+$B$18)^(A122-household!$B$4+1)</f>
        <v/>
      </c>
      <c r="P122" s="13">
        <f>(1+$B$18)^(A122-tax_tables!$B$4)</f>
        <v/>
      </c>
      <c r="Q122" s="13">
        <f>(1+$B$21)^(A122-household!$B$4+1)</f>
        <v/>
      </c>
      <c r="R122" s="13">
        <f>(1+$B$22)^(A122-household!$B$4+1)</f>
        <v/>
      </c>
      <c r="S122" s="13">
        <f>(1+$B$23)^(A122-household!$B$4+1)</f>
        <v/>
      </c>
      <c r="T122" s="12">
        <f>IF(A122&lt;$B$5,1,0)</f>
        <v/>
      </c>
      <c r="U122" s="12">
        <f>IF(A122&lt;$B$6,1,0)</f>
        <v/>
      </c>
      <c r="V122" s="12">
        <f>IF(T122+U122&gt;0,1,0)</f>
        <v/>
      </c>
      <c r="W122" s="15">
        <f>T122*$B$7*O122+SUMPRODUCT(($B$83:$B$88=A122)*($D$83:$D$88="Wages: person 1")*$C$83:$C$88)*O122</f>
        <v/>
      </c>
      <c r="X122" s="15">
        <f>U122*$B$8*O122+SUMPRODUCT(($B$83:$B$88=A122)*($D$83:$D$88="Wages: person 2")*$C$83:$C$88)*O122</f>
        <v/>
      </c>
      <c r="Y122" s="15">
        <f>T122*$B$9*O122</f>
        <v/>
      </c>
      <c r="Z122" s="15">
        <f>U122*$B$10*O122</f>
        <v/>
      </c>
      <c r="AA122" s="15">
        <f>T122*$B$11*O122</f>
        <v/>
      </c>
      <c r="AB122" s="15">
        <f>U122*$B$12*O122</f>
        <v/>
      </c>
      <c r="AC122" s="15">
        <f>V122*$B$13*O122</f>
        <v/>
      </c>
      <c r="AD122" s="15">
        <f>W122+X122</f>
        <v/>
      </c>
      <c r="AE122" s="15">
        <f>AD122-Y122-Z122-AC122</f>
        <v/>
      </c>
      <c r="AF122" s="15">
        <f>0.062*MIN(W122,tax_tables!$B$21*P122)+0.062*MIN(X122,tax_tables!$B$21*P122)+0.0145*AD122+0.009*MAX(0,AD122-tax_tables!$B$22)</f>
        <v/>
      </c>
      <c r="AG122" s="15">
        <f>$B$14*AE122</f>
        <v/>
      </c>
      <c r="AH122" s="15">
        <f>AD122-Y122-Z122-AC122-AF122-AG122</f>
        <v/>
      </c>
      <c r="AI122" s="15">
        <f>SUMPRODUCT(($B$83:$B$88=A122)*($D$83:$D$88="Other taxable income")*$C$83:$C$88)*O122</f>
        <v/>
      </c>
      <c r="AJ122" s="15">
        <f>SUMPRODUCT(($B$83:$B$88=A122)*($D$83:$D$88="Tax-free money in")*$C$83:$C$88)*O122</f>
        <v/>
      </c>
      <c r="AK122" s="15">
        <f>SUMPRODUCT(($B$83:$B$88=A122)*($D$83:$D$88="Expense")*$C$83:$C$88)*O122</f>
        <v/>
      </c>
      <c r="AL122" s="12">
        <f>IF(OR($B$75="",A122&lt;$B$75),1,0)</f>
        <v/>
      </c>
      <c r="AM122" s="15">
        <f>AP121</f>
        <v/>
      </c>
      <c r="AN122" s="15">
        <f>AL122*AM122*properties!$J$2</f>
        <v/>
      </c>
      <c r="AO122" s="15">
        <f>AL122*MIN(properties!$K$2,AM122+AN122)</f>
        <v/>
      </c>
      <c r="AP122" s="15">
        <f>AL122*(AM122+AN122-AO122)</f>
        <v/>
      </c>
      <c r="AQ122" s="15">
        <f>AL122*properties!$G$2*O122</f>
        <v/>
      </c>
      <c r="AR122" s="15">
        <f>(1-AL122)*$E$75*O122</f>
        <v/>
      </c>
      <c r="AS122" s="15">
        <f>AO122+AQ122+AR122</f>
        <v/>
      </c>
      <c r="AT122" s="15">
        <f>SUMIF(budget!$A$2:$A$300,"household",budget!$F$2:$F$300)*O122*IF(N122="",1,N122)</f>
        <v/>
      </c>
      <c r="AU122" s="15">
        <f>SUMPRODUCT((other_budget!$C$2:$C$30&lt;=A122)*(other_budget!$D$2:$D$30&gt;=A122)*other_budget!$B$2:$B$30)*O122</f>
        <v/>
      </c>
      <c r="AV122" s="15">
        <f>SUMPRODUCT((kids_budget!$D$2:$D$40&lt;=A122)*(kids_budget!$E$2:$E$40&gt;=A122)*(kids_budget!$G$2:$G$40&lt;&gt;"college_funds")*kids_budget!$C$2:$C$40*((kids_budget!$F$2:$F$40="college")*R122+(kids_budget!$F$2:$F$40&lt;&gt;"college")*O122))</f>
        <v/>
      </c>
      <c r="AW122" s="15">
        <f>SUMPRODUCT((kids_budget!$D$2:$D$40&lt;=A122)*(kids_budget!$E$2:$E$40&gt;=A122)*(kids_budget!$G$2:$G$40="college_funds")*kids_budget!$C$2:$C$40*((kids_budget!$F$2:$F$40="college")*R122+(kids_budget!$F$2:$F$40&lt;&gt;"college")*O122))</f>
        <v/>
      </c>
      <c r="AX122" s="15">
        <f>BA121</f>
        <v/>
      </c>
      <c r="AY122" s="15">
        <f>MIN(AW122,AX122*(1+M122))</f>
        <v/>
      </c>
      <c r="AZ122" s="15">
        <f>AW122-AY122</f>
        <v/>
      </c>
      <c r="BA122" s="15">
        <f>AX122*(1+M122)-AY122</f>
        <v/>
      </c>
      <c r="BB122" s="15">
        <f>V122*healthcare!$B$5*Q122</f>
        <v/>
      </c>
      <c r="BC122" s="12">
        <f>(1-V122)*((B122&lt;65)+(C122&lt;65))</f>
        <v/>
      </c>
      <c r="BD122" s="12">
        <f>COUNTIF(household!$C$16:$C$23,"&gt;="&amp;A122)</f>
        <v/>
      </c>
      <c r="BE122" s="15">
        <f>(BC122*healthcare!$B$2+IF(BC122&gt;0,BD122,0)*healthcare!$B$3)*12*Q122</f>
        <v/>
      </c>
      <c r="BF122" s="15">
        <f>IF(BC122&gt;0,(BC122+BD122)*healthcare!$B$4*Q122,0)</f>
        <v/>
      </c>
      <c r="BG122" s="12">
        <f>(B122&gt;=65)+(C122&gt;=65)</f>
        <v/>
      </c>
      <c r="BH122" s="15">
        <f>BG122*(healthcare!$B$6+healthcare!$B$7+healthcare!$B$8)*12*Q122</f>
        <v/>
      </c>
      <c r="BI122" s="15">
        <f>BG122*healthcare!$B$9*Q122</f>
        <v/>
      </c>
      <c r="BJ122" s="15">
        <f>BG122*12*O122*SUMPRODUCT((DK120&gt;tax_tables!$Q$5:$Q$9*P122)*tax_tables!$T$5:$T$9)</f>
        <v/>
      </c>
      <c r="BK122" s="12">
        <f>AND(B122&gt;=$B$51,B122&lt;$B$51+$B$52)*1+AND(C122&gt;=$B$53,C122&lt;$B$53+$B$54)*1</f>
        <v/>
      </c>
      <c r="BL122" s="15">
        <f>BK122*$B$55*S122</f>
        <v/>
      </c>
      <c r="BM122" s="15">
        <f>BB122+BE122+BF122+BH122+BI122+BJ122+BL122</f>
        <v/>
      </c>
      <c r="BN122" s="15">
        <f>BP121</f>
        <v/>
      </c>
      <c r="BO122" s="15">
        <f>IF(V122=1,0,MIN(BN122*(1+M122),BF122+BG122*(healthcare!$B$6+healthcare!$B$7)*12*Q122+BI122+BJ122+BL122))</f>
        <v/>
      </c>
      <c r="BP122" s="15">
        <f>BN122*(1+M122)-BO122+AC122-CV122</f>
        <v/>
      </c>
      <c r="BQ122" s="15">
        <f>SUMPRODUCT((1-($B$76:$B$79&gt;0)*(A122&gt;=$B$76:$B$79))*(1-(($C$76:$C$79&gt;0)*(A122&gt;=$C$76:$C$79)))*(properties!$L$3:$L$6-properties!$M$3:$M$6))*O122+SUMPRODUCT((1-($B$76:$B$79&gt;0)*(A122&gt;=$B$76:$B$79))*(($C$76:$C$79&gt;0)*(A122&gt;=$C$76:$C$79))*($D$76:$D$79-$E$76:$E$79))*O122</f>
        <v/>
      </c>
      <c r="BR122" s="15">
        <f>SUMPRODUCT((1-($B$76:$B$79&gt;0)*(A122&gt;=$B$76:$B$79))*properties!$N$3:$N$6*(A122&lt;=properties!$O$3:$O$6))</f>
        <v/>
      </c>
      <c r="BS122" s="15">
        <f>MAX(0,BQ122-BR122)</f>
        <v/>
      </c>
      <c r="BT122" s="15">
        <f>SUMPRODUCT(($B$75:$B$79=A122)*$G$75:$G$79)</f>
        <v/>
      </c>
      <c r="BU122" s="15">
        <f>SUMPRODUCT(($B$75:$B$79=A122)*$H$75:$H$79)</f>
        <v/>
      </c>
      <c r="BV122" s="15">
        <f>SUMPRODUCT(($B$75:$B$79=A122)*$I$75:$I$79)</f>
        <v/>
      </c>
      <c r="BW122" s="15">
        <f>AL122*properties!$C$2*(1+properties!$D$2)^(A122-household!$B$4+1)</f>
        <v/>
      </c>
      <c r="BX122" s="15">
        <f>SUMPRODUCT((1-($B$76:$B$79&gt;0)*(A122&gt;=$B$76:$B$79))*properties!$C$3:$C$6*(1+properties!$D$3:$D$6)^(A122-household!$B$4+1))</f>
        <v/>
      </c>
      <c r="BY122" s="15">
        <f>IF(A122&gt;=$B$31,IF(A122&gt;=$B$32,MAX(household!$B$11*12*(1-$B$28)*O122*IF(A122&gt;=$B$30,1-$B$29,1)*$B$33,0.5*household!$B$12*12*(1-$B$28)*O122*IF(A122&gt;=$B$30,1-$B$29,1)*$B$35),household!$B$11*12*(1-$B$28)*O122*IF(A122&gt;=$B$30,1-$B$29,1)*$B$33),0)</f>
        <v/>
      </c>
      <c r="BZ122" s="15">
        <f>IF(A122&gt;=$B$32,IF(A122&gt;=$B$31,MAX(household!$B$12*12*(1-$B$28)*O122*IF(A122&gt;=$B$30,1-$B$29,1)*$B$34,0.5*household!$B$11*12*(1-$B$28)*O122*IF(A122&gt;=$B$30,1-$B$29,1)*$B$36),household!$B$12*12*(1-$B$28)*O122*IF(A122&gt;=$B$30,1-$B$29,1)*$B$34),0)</f>
        <v/>
      </c>
      <c r="CA122" s="15">
        <f>IF(AND($B$43&lt;&gt;0,A122&gt;=household!$B$6+$B$44),$B$43*(1+$B$18)^(MAX(household!$B$6+$B$44,household!$B$4-1)-household!$B$4+1)*(1+$B$47*$B$18)^(A122-MAX(household!$B$6+$B$44,household!$B$4-1)),0)</f>
        <v/>
      </c>
      <c r="CB122" s="15">
        <f>IF(AND($B$45&lt;&gt;0,A122&gt;=household!$B$9+$B$46),$B$45*(1+$B$18)^(MAX(household!$B$9+$B$46,household!$B$4-1)-household!$B$4+1)*(1+$B$47*$B$18)^(A122-MAX(household!$B$9+$B$46,household!$B$4-1)),0)</f>
        <v/>
      </c>
      <c r="CC122" s="15">
        <f>DC121</f>
        <v/>
      </c>
      <c r="CD122" s="15">
        <f>DD121</f>
        <v/>
      </c>
      <c r="CE122" s="15">
        <f>$B$20*CC122</f>
        <v/>
      </c>
      <c r="CF122" s="15">
        <f>DE121</f>
        <v/>
      </c>
      <c r="CG122" s="15">
        <f>DF121</f>
        <v/>
      </c>
      <c r="CH122" s="15">
        <f>IF(B122&gt;=$B$71,MAX(0,CF122)/INDEX(tax_tables!$Z$5:$Z$53,MATCH(B122,tax_tables!$Y$5:$Y$53,0)),0)</f>
        <v/>
      </c>
      <c r="CI122" s="15">
        <f>IF(C122&gt;=$B$72,MAX(0,CG122)/INDEX(tax_tables!$Z$5:$Z$53,MATCH(C122,tax_tables!$Y$5:$Y$53,0)),0)</f>
        <v/>
      </c>
      <c r="CJ122" s="15">
        <f>DG121</f>
        <v/>
      </c>
      <c r="CK122" s="15">
        <f>IF(OR($B$59="",$B$60=""),0,IF(AND(A122&gt;=$B$59,A122&lt;=$B$60),$B$58*O122,0))</f>
        <v/>
      </c>
      <c r="CL122" s="15">
        <f>MAX(0,CF122*(1+M122)-CH122)</f>
        <v/>
      </c>
      <c r="CM122" s="15">
        <f>MAX(0,CG122*(1+M122)-CI122)</f>
        <v/>
      </c>
      <c r="CN122" s="15">
        <f>EB121-AG121</f>
        <v/>
      </c>
      <c r="CO122" s="15">
        <f>AH122+F122+CA122+CB122+BQ122+CE122+CH122+CI122+BT122+AI122+AJ122+BO122</f>
        <v/>
      </c>
      <c r="CP122" s="15">
        <f>D122+CN122-CO122</f>
        <v/>
      </c>
      <c r="CQ122" s="15">
        <f>MAX(0,MIN(CP122,CC122*(1+M122-$B$20)))</f>
        <v/>
      </c>
      <c r="CR122" s="15">
        <f>MAX(0,MIN(CP122-CQ122,CL122+CM122))</f>
        <v/>
      </c>
      <c r="CS122" s="15">
        <f>IF(CL122+CM122&gt;1,CR122*CL122/(CL122+CM122),0)</f>
        <v/>
      </c>
      <c r="CT122" s="15">
        <f>CR122-CS122</f>
        <v/>
      </c>
      <c r="CU122" s="15">
        <f>MAX(0,MIN(CP122-CQ122-CR122,CJ122*(1+M122)))</f>
        <v/>
      </c>
      <c r="CV122" s="15">
        <f>MAX(0,MIN(CP122-CQ122-CR122-CU122,BN122*(1+M122)-BO122+AC122))</f>
        <v/>
      </c>
      <c r="CW122" s="15">
        <f>MAX(0,-CP122)</f>
        <v/>
      </c>
      <c r="CX122" s="15">
        <f>MIN(CK122,CL122-CS122+CM122-CT122)</f>
        <v/>
      </c>
      <c r="CY122" s="15">
        <f>IF(CL122-CS122+CM122-CT122&gt;1,CX122*(CL122-CS122)/(CL122-CS122+CM122-CT122),0)</f>
        <v/>
      </c>
      <c r="CZ122" s="15">
        <f>CX122-CY122</f>
        <v/>
      </c>
      <c r="DA122" s="22">
        <f>IF(CC122&gt;0,MAX(0,1-CD122/CC122),0)</f>
        <v/>
      </c>
      <c r="DB122" s="15">
        <f>CQ122*DA122</f>
        <v/>
      </c>
      <c r="DC122" s="15">
        <f>CC122*(1+M122-$B$20)-CQ122+CW122</f>
        <v/>
      </c>
      <c r="DD122" s="15">
        <f>CD122-(CQ122-DB122)+CW122</f>
        <v/>
      </c>
      <c r="DE122" s="15">
        <f>CF122*(1+M122)-CH122-CS122-CY122+Y122+AA122</f>
        <v/>
      </c>
      <c r="DF122" s="15">
        <f>CG122*(1+M122)-CI122-CT122-CZ122+Z122+AB122</f>
        <v/>
      </c>
      <c r="DG122" s="15">
        <f>CJ122*(1+M122)-CU122+CX122</f>
        <v/>
      </c>
      <c r="DH122" s="15">
        <f>AE122+CR122+CH122+CI122+CX122+CV122+BS122+AI122+CA122+CB122</f>
        <v/>
      </c>
      <c r="DI122" s="15">
        <f>CE122+DB122+BU122</f>
        <v/>
      </c>
      <c r="DJ122" s="15">
        <f>IF((DH122+DI122+0.5*F122)&lt;=tax_tables!$B$14,0,IF((DH122+DI122+0.5*F122)&lt;=tax_tables!$B$15,MIN(0.5*F122,0.5*((DH122+DI122+0.5*F122)-tax_tables!$B$14)),MIN(0.85*F122,0.85*((DH122+DI122+0.5*F122)-tax_tables!$B$15)+MIN(0.5*F122,tax_tables!$B$15-tax_tables!$B$14))))</f>
        <v/>
      </c>
      <c r="DK122" s="15">
        <f>DH122+DI122+DJ122</f>
        <v/>
      </c>
      <c r="DL122" s="12">
        <f>(B122&gt;=65)+(C122&gt;=65)</f>
        <v/>
      </c>
      <c r="DM122" s="15">
        <f>(tax_tables!$B$5+tax_tables!$B$6*DL122)*P122</f>
        <v/>
      </c>
      <c r="DN122" s="15">
        <f>IF(AND(A122&gt;=tax_tables!$B$8,A122&lt;=tax_tables!$B$9),DL122*MAX(0,tax_tables!$B$7-tax_tables!$B$11*MAX(0,DK122-tax_tables!$B$10)),0)</f>
        <v/>
      </c>
      <c r="DO122" s="15">
        <f>IFERROR(MAX(tax_tables!$B$16,INDEX(tax_tables!$W$5:$W$8,MATCH(A122,tax_tables!$V$5:$V$8,0))-tax_tables!$B$18*MAX(0,DK122-tax_tables!$B$17*1.01^(A122-tax_tables!$B$4))),tax_tables!$B$16)</f>
        <v/>
      </c>
      <c r="DP122" s="15">
        <f>MAX(0,BM122-BB122-tax_tables!$B$23*DK122)</f>
        <v/>
      </c>
      <c r="DQ122" s="15">
        <f>AN122+MIN(DO122,DY121+DZ121+EA121+AL122*properties!$H$2*O122)+DP122+$B$61*O122</f>
        <v/>
      </c>
      <c r="DR122" s="15">
        <f>MAX(DM122,DQ122)</f>
        <v/>
      </c>
      <c r="DS122" s="15">
        <f>MAX(0,DH122+DJ122-DR122-DN122)</f>
        <v/>
      </c>
      <c r="DT122" s="15">
        <f>MAX(0,DI122-MAX(0,DR122+DN122-DH122-DJ122))</f>
        <v/>
      </c>
      <c r="DU122" s="15">
        <f>SUMPRODUCT((DS122&gt;tax_tables!$E$5:$E$16*P122)*(DS122-tax_tables!$E$5:$E$16*P122)*tax_tables!$G$5:$G$16)+SUMPRODUCT(((DS122+DT122)&gt;tax_tables!$I$5:$I$16*P122)*((DS122+DT122)-tax_tables!$I$5:$I$16*P122)*tax_tables!$K$5:$K$16)-SUMPRODUCT((DS122&gt;tax_tables!$I$5:$I$16*P122)*(DS122-tax_tables!$I$5:$I$16*P122)*tax_tables!$K$5:$K$16)+tax_tables!$B$19*BV122+tax_tables!$B$12*MIN(CE122+DB122+BS122+BU122,MAX(0,DK122-tax_tables!$B$13))</f>
        <v/>
      </c>
      <c r="DV122" s="12">
        <f>IF($B$39="",0,IF(A122&gt;=$B$39,1,0))</f>
        <v/>
      </c>
      <c r="DW122" s="15">
        <f>IF(B122+0.5&gt;=tax_tables!$B$30,MIN(CS122+CH122+CY122+CA122,tax_tables!$B$29),0)+IF(C122+0.5&gt;=tax_tables!$B$30,MIN(CT122+CI122+CZ122+CB122,tax_tables!$B$29),0)</f>
        <v/>
      </c>
      <c r="DX122" s="15">
        <f>MAX(0,DK122-tax_tables!$B$28*DJ122-DW122-tax_tables!$B$26*IF(tax_tables!$B$27=1,P122,1))</f>
        <v/>
      </c>
      <c r="DY122" s="15">
        <f>(1-DV122)*SUMPRODUCT((DX122&gt;tax_tables!$M$5:$M$16*IF(tax_tables!$B$27=1,P122,1))*(DX122-tax_tables!$M$5:$M$16*IF(tax_tables!$B$27=1,P122,1))*tax_tables!$O$5:$O$16)</f>
        <v/>
      </c>
      <c r="DZ122" s="15">
        <f>(1-DV122)*tax_tables!$B$31*DX122</f>
        <v/>
      </c>
      <c r="EA122" s="15">
        <f>DV122*$B$40*MAX(0,DK122-DJ122)</f>
        <v/>
      </c>
      <c r="EB122" s="15">
        <f>DU122+DY122+DZ122+EA122</f>
        <v/>
      </c>
      <c r="EC122" s="15">
        <f>DC122+DE122+DF122+DG122+BP122</f>
        <v/>
      </c>
      <c r="ED122" s="15">
        <f>EC122+BW122-AP122+BX122</f>
        <v/>
      </c>
    </row>
    <row r="123">
      <c r="A123" s="12">
        <f>A122+1</f>
        <v/>
      </c>
      <c r="B123" s="12">
        <f>A123-household!$B$6</f>
        <v/>
      </c>
      <c r="C123" s="12">
        <f>A123-household!$B$9</f>
        <v/>
      </c>
      <c r="D123" s="15">
        <f>AS123+AT123+AU123+AV123+AZ123+BM123+AK123</f>
        <v/>
      </c>
      <c r="E123" s="15">
        <f>CN123+AG123+AF123</f>
        <v/>
      </c>
      <c r="F123" s="15">
        <f>BY123+BZ123</f>
        <v/>
      </c>
      <c r="G123" s="15">
        <f>CQ123+CR123+CU123+CH123+CI123+CE123-CW123+CV123+BO123</f>
        <v/>
      </c>
      <c r="H123" s="22">
        <f>IF(CC123+CF123+CG123+CJ123+BN123&lt;=0,"",G123/(CC123+CF123+CG123+CJ123+BN123))</f>
        <v/>
      </c>
      <c r="I123" s="23">
        <f>EC123/O123</f>
        <v/>
      </c>
      <c r="J123" s="23">
        <f>ED123/O123</f>
        <v/>
      </c>
      <c r="K123" s="15">
        <f>MAX(0,CP123-CQ123-CR123-CU123-CV123)</f>
        <v/>
      </c>
      <c r="L123" s="11" t="n"/>
      <c r="M123" s="22">
        <f>IF(L123="",$B$19,L123)</f>
        <v/>
      </c>
      <c r="N123" s="14" t="n"/>
      <c r="O123" s="13">
        <f>(1+$B$18)^(A123-household!$B$4+1)</f>
        <v/>
      </c>
      <c r="P123" s="13">
        <f>(1+$B$18)^(A123-tax_tables!$B$4)</f>
        <v/>
      </c>
      <c r="Q123" s="13">
        <f>(1+$B$21)^(A123-household!$B$4+1)</f>
        <v/>
      </c>
      <c r="R123" s="13">
        <f>(1+$B$22)^(A123-household!$B$4+1)</f>
        <v/>
      </c>
      <c r="S123" s="13">
        <f>(1+$B$23)^(A123-household!$B$4+1)</f>
        <v/>
      </c>
      <c r="T123" s="12">
        <f>IF(A123&lt;$B$5,1,0)</f>
        <v/>
      </c>
      <c r="U123" s="12">
        <f>IF(A123&lt;$B$6,1,0)</f>
        <v/>
      </c>
      <c r="V123" s="12">
        <f>IF(T123+U123&gt;0,1,0)</f>
        <v/>
      </c>
      <c r="W123" s="15">
        <f>T123*$B$7*O123+SUMPRODUCT(($B$83:$B$88=A123)*($D$83:$D$88="Wages: person 1")*$C$83:$C$88)*O123</f>
        <v/>
      </c>
      <c r="X123" s="15">
        <f>U123*$B$8*O123+SUMPRODUCT(($B$83:$B$88=A123)*($D$83:$D$88="Wages: person 2")*$C$83:$C$88)*O123</f>
        <v/>
      </c>
      <c r="Y123" s="15">
        <f>T123*$B$9*O123</f>
        <v/>
      </c>
      <c r="Z123" s="15">
        <f>U123*$B$10*O123</f>
        <v/>
      </c>
      <c r="AA123" s="15">
        <f>T123*$B$11*O123</f>
        <v/>
      </c>
      <c r="AB123" s="15">
        <f>U123*$B$12*O123</f>
        <v/>
      </c>
      <c r="AC123" s="15">
        <f>V123*$B$13*O123</f>
        <v/>
      </c>
      <c r="AD123" s="15">
        <f>W123+X123</f>
        <v/>
      </c>
      <c r="AE123" s="15">
        <f>AD123-Y123-Z123-AC123</f>
        <v/>
      </c>
      <c r="AF123" s="15">
        <f>0.062*MIN(W123,tax_tables!$B$21*P123)+0.062*MIN(X123,tax_tables!$B$21*P123)+0.0145*AD123+0.009*MAX(0,AD123-tax_tables!$B$22)</f>
        <v/>
      </c>
      <c r="AG123" s="15">
        <f>$B$14*AE123</f>
        <v/>
      </c>
      <c r="AH123" s="15">
        <f>AD123-Y123-Z123-AC123-AF123-AG123</f>
        <v/>
      </c>
      <c r="AI123" s="15">
        <f>SUMPRODUCT(($B$83:$B$88=A123)*($D$83:$D$88="Other taxable income")*$C$83:$C$88)*O123</f>
        <v/>
      </c>
      <c r="AJ123" s="15">
        <f>SUMPRODUCT(($B$83:$B$88=A123)*($D$83:$D$88="Tax-free money in")*$C$83:$C$88)*O123</f>
        <v/>
      </c>
      <c r="AK123" s="15">
        <f>SUMPRODUCT(($B$83:$B$88=A123)*($D$83:$D$88="Expense")*$C$83:$C$88)*O123</f>
        <v/>
      </c>
      <c r="AL123" s="12">
        <f>IF(OR($B$75="",A123&lt;$B$75),1,0)</f>
        <v/>
      </c>
      <c r="AM123" s="15">
        <f>AP122</f>
        <v/>
      </c>
      <c r="AN123" s="15">
        <f>AL123*AM123*properties!$J$2</f>
        <v/>
      </c>
      <c r="AO123" s="15">
        <f>AL123*MIN(properties!$K$2,AM123+AN123)</f>
        <v/>
      </c>
      <c r="AP123" s="15">
        <f>AL123*(AM123+AN123-AO123)</f>
        <v/>
      </c>
      <c r="AQ123" s="15">
        <f>AL123*properties!$G$2*O123</f>
        <v/>
      </c>
      <c r="AR123" s="15">
        <f>(1-AL123)*$E$75*O123</f>
        <v/>
      </c>
      <c r="AS123" s="15">
        <f>AO123+AQ123+AR123</f>
        <v/>
      </c>
      <c r="AT123" s="15">
        <f>SUMIF(budget!$A$2:$A$300,"household",budget!$F$2:$F$300)*O123*IF(N123="",1,N123)</f>
        <v/>
      </c>
      <c r="AU123" s="15">
        <f>SUMPRODUCT((other_budget!$C$2:$C$30&lt;=A123)*(other_budget!$D$2:$D$30&gt;=A123)*other_budget!$B$2:$B$30)*O123</f>
        <v/>
      </c>
      <c r="AV123" s="15">
        <f>SUMPRODUCT((kids_budget!$D$2:$D$40&lt;=A123)*(kids_budget!$E$2:$E$40&gt;=A123)*(kids_budget!$G$2:$G$40&lt;&gt;"college_funds")*kids_budget!$C$2:$C$40*((kids_budget!$F$2:$F$40="college")*R123+(kids_budget!$F$2:$F$40&lt;&gt;"college")*O123))</f>
        <v/>
      </c>
      <c r="AW123" s="15">
        <f>SUMPRODUCT((kids_budget!$D$2:$D$40&lt;=A123)*(kids_budget!$E$2:$E$40&gt;=A123)*(kids_budget!$G$2:$G$40="college_funds")*kids_budget!$C$2:$C$40*((kids_budget!$F$2:$F$40="college")*R123+(kids_budget!$F$2:$F$40&lt;&gt;"college")*O123))</f>
        <v/>
      </c>
      <c r="AX123" s="15">
        <f>BA122</f>
        <v/>
      </c>
      <c r="AY123" s="15">
        <f>MIN(AW123,AX123*(1+M123))</f>
        <v/>
      </c>
      <c r="AZ123" s="15">
        <f>AW123-AY123</f>
        <v/>
      </c>
      <c r="BA123" s="15">
        <f>AX123*(1+M123)-AY123</f>
        <v/>
      </c>
      <c r="BB123" s="15">
        <f>V123*healthcare!$B$5*Q123</f>
        <v/>
      </c>
      <c r="BC123" s="12">
        <f>(1-V123)*((B123&lt;65)+(C123&lt;65))</f>
        <v/>
      </c>
      <c r="BD123" s="12">
        <f>COUNTIF(household!$C$16:$C$23,"&gt;="&amp;A123)</f>
        <v/>
      </c>
      <c r="BE123" s="15">
        <f>(BC123*healthcare!$B$2+IF(BC123&gt;0,BD123,0)*healthcare!$B$3)*12*Q123</f>
        <v/>
      </c>
      <c r="BF123" s="15">
        <f>IF(BC123&gt;0,(BC123+BD123)*healthcare!$B$4*Q123,0)</f>
        <v/>
      </c>
      <c r="BG123" s="12">
        <f>(B123&gt;=65)+(C123&gt;=65)</f>
        <v/>
      </c>
      <c r="BH123" s="15">
        <f>BG123*(healthcare!$B$6+healthcare!$B$7+healthcare!$B$8)*12*Q123</f>
        <v/>
      </c>
      <c r="BI123" s="15">
        <f>BG123*healthcare!$B$9*Q123</f>
        <v/>
      </c>
      <c r="BJ123" s="15">
        <f>BG123*12*O123*SUMPRODUCT((DK121&gt;tax_tables!$Q$5:$Q$9*P123)*tax_tables!$T$5:$T$9)</f>
        <v/>
      </c>
      <c r="BK123" s="12">
        <f>AND(B123&gt;=$B$51,B123&lt;$B$51+$B$52)*1+AND(C123&gt;=$B$53,C123&lt;$B$53+$B$54)*1</f>
        <v/>
      </c>
      <c r="BL123" s="15">
        <f>BK123*$B$55*S123</f>
        <v/>
      </c>
      <c r="BM123" s="15">
        <f>BB123+BE123+BF123+BH123+BI123+BJ123+BL123</f>
        <v/>
      </c>
      <c r="BN123" s="15">
        <f>BP122</f>
        <v/>
      </c>
      <c r="BO123" s="15">
        <f>IF(V123=1,0,MIN(BN123*(1+M123),BF123+BG123*(healthcare!$B$6+healthcare!$B$7)*12*Q123+BI123+BJ123+BL123))</f>
        <v/>
      </c>
      <c r="BP123" s="15">
        <f>BN123*(1+M123)-BO123+AC123-CV123</f>
        <v/>
      </c>
      <c r="BQ123" s="15">
        <f>SUMPRODUCT((1-($B$76:$B$79&gt;0)*(A123&gt;=$B$76:$B$79))*(1-(($C$76:$C$79&gt;0)*(A123&gt;=$C$76:$C$79)))*(properties!$L$3:$L$6-properties!$M$3:$M$6))*O123+SUMPRODUCT((1-($B$76:$B$79&gt;0)*(A123&gt;=$B$76:$B$79))*(($C$76:$C$79&gt;0)*(A123&gt;=$C$76:$C$79))*($D$76:$D$79-$E$76:$E$79))*O123</f>
        <v/>
      </c>
      <c r="BR123" s="15">
        <f>SUMPRODUCT((1-($B$76:$B$79&gt;0)*(A123&gt;=$B$76:$B$79))*properties!$N$3:$N$6*(A123&lt;=properties!$O$3:$O$6))</f>
        <v/>
      </c>
      <c r="BS123" s="15">
        <f>MAX(0,BQ123-BR123)</f>
        <v/>
      </c>
      <c r="BT123" s="15">
        <f>SUMPRODUCT(($B$75:$B$79=A123)*$G$75:$G$79)</f>
        <v/>
      </c>
      <c r="BU123" s="15">
        <f>SUMPRODUCT(($B$75:$B$79=A123)*$H$75:$H$79)</f>
        <v/>
      </c>
      <c r="BV123" s="15">
        <f>SUMPRODUCT(($B$75:$B$79=A123)*$I$75:$I$79)</f>
        <v/>
      </c>
      <c r="BW123" s="15">
        <f>AL123*properties!$C$2*(1+properties!$D$2)^(A123-household!$B$4+1)</f>
        <v/>
      </c>
      <c r="BX123" s="15">
        <f>SUMPRODUCT((1-($B$76:$B$79&gt;0)*(A123&gt;=$B$76:$B$79))*properties!$C$3:$C$6*(1+properties!$D$3:$D$6)^(A123-household!$B$4+1))</f>
        <v/>
      </c>
      <c r="BY123" s="15">
        <f>IF(A123&gt;=$B$31,IF(A123&gt;=$B$32,MAX(household!$B$11*12*(1-$B$28)*O123*IF(A123&gt;=$B$30,1-$B$29,1)*$B$33,0.5*household!$B$12*12*(1-$B$28)*O123*IF(A123&gt;=$B$30,1-$B$29,1)*$B$35),household!$B$11*12*(1-$B$28)*O123*IF(A123&gt;=$B$30,1-$B$29,1)*$B$33),0)</f>
        <v/>
      </c>
      <c r="BZ123" s="15">
        <f>IF(A123&gt;=$B$32,IF(A123&gt;=$B$31,MAX(household!$B$12*12*(1-$B$28)*O123*IF(A123&gt;=$B$30,1-$B$29,1)*$B$34,0.5*household!$B$11*12*(1-$B$28)*O123*IF(A123&gt;=$B$30,1-$B$29,1)*$B$36),household!$B$12*12*(1-$B$28)*O123*IF(A123&gt;=$B$30,1-$B$29,1)*$B$34),0)</f>
        <v/>
      </c>
      <c r="CA123" s="15">
        <f>IF(AND($B$43&lt;&gt;0,A123&gt;=household!$B$6+$B$44),$B$43*(1+$B$18)^(MAX(household!$B$6+$B$44,household!$B$4-1)-household!$B$4+1)*(1+$B$47*$B$18)^(A123-MAX(household!$B$6+$B$44,household!$B$4-1)),0)</f>
        <v/>
      </c>
      <c r="CB123" s="15">
        <f>IF(AND($B$45&lt;&gt;0,A123&gt;=household!$B$9+$B$46),$B$45*(1+$B$18)^(MAX(household!$B$9+$B$46,household!$B$4-1)-household!$B$4+1)*(1+$B$47*$B$18)^(A123-MAX(household!$B$9+$B$46,household!$B$4-1)),0)</f>
        <v/>
      </c>
      <c r="CC123" s="15">
        <f>DC122</f>
        <v/>
      </c>
      <c r="CD123" s="15">
        <f>DD122</f>
        <v/>
      </c>
      <c r="CE123" s="15">
        <f>$B$20*CC123</f>
        <v/>
      </c>
      <c r="CF123" s="15">
        <f>DE122</f>
        <v/>
      </c>
      <c r="CG123" s="15">
        <f>DF122</f>
        <v/>
      </c>
      <c r="CH123" s="15">
        <f>IF(B123&gt;=$B$71,MAX(0,CF123)/INDEX(tax_tables!$Z$5:$Z$53,MATCH(B123,tax_tables!$Y$5:$Y$53,0)),0)</f>
        <v/>
      </c>
      <c r="CI123" s="15">
        <f>IF(C123&gt;=$B$72,MAX(0,CG123)/INDEX(tax_tables!$Z$5:$Z$53,MATCH(C123,tax_tables!$Y$5:$Y$53,0)),0)</f>
        <v/>
      </c>
      <c r="CJ123" s="15">
        <f>DG122</f>
        <v/>
      </c>
      <c r="CK123" s="15">
        <f>IF(OR($B$59="",$B$60=""),0,IF(AND(A123&gt;=$B$59,A123&lt;=$B$60),$B$58*O123,0))</f>
        <v/>
      </c>
      <c r="CL123" s="15">
        <f>MAX(0,CF123*(1+M123)-CH123)</f>
        <v/>
      </c>
      <c r="CM123" s="15">
        <f>MAX(0,CG123*(1+M123)-CI123)</f>
        <v/>
      </c>
      <c r="CN123" s="15">
        <f>EB122-AG122</f>
        <v/>
      </c>
      <c r="CO123" s="15">
        <f>AH123+F123+CA123+CB123+BQ123+CE123+CH123+CI123+BT123+AI123+AJ123+BO123</f>
        <v/>
      </c>
      <c r="CP123" s="15">
        <f>D123+CN123-CO123</f>
        <v/>
      </c>
      <c r="CQ123" s="15">
        <f>MAX(0,MIN(CP123,CC123*(1+M123-$B$20)))</f>
        <v/>
      </c>
      <c r="CR123" s="15">
        <f>MAX(0,MIN(CP123-CQ123,CL123+CM123))</f>
        <v/>
      </c>
      <c r="CS123" s="15">
        <f>IF(CL123+CM123&gt;1,CR123*CL123/(CL123+CM123),0)</f>
        <v/>
      </c>
      <c r="CT123" s="15">
        <f>CR123-CS123</f>
        <v/>
      </c>
      <c r="CU123" s="15">
        <f>MAX(0,MIN(CP123-CQ123-CR123,CJ123*(1+M123)))</f>
        <v/>
      </c>
      <c r="CV123" s="15">
        <f>MAX(0,MIN(CP123-CQ123-CR123-CU123,BN123*(1+M123)-BO123+AC123))</f>
        <v/>
      </c>
      <c r="CW123" s="15">
        <f>MAX(0,-CP123)</f>
        <v/>
      </c>
      <c r="CX123" s="15">
        <f>MIN(CK123,CL123-CS123+CM123-CT123)</f>
        <v/>
      </c>
      <c r="CY123" s="15">
        <f>IF(CL123-CS123+CM123-CT123&gt;1,CX123*(CL123-CS123)/(CL123-CS123+CM123-CT123),0)</f>
        <v/>
      </c>
      <c r="CZ123" s="15">
        <f>CX123-CY123</f>
        <v/>
      </c>
      <c r="DA123" s="22">
        <f>IF(CC123&gt;0,MAX(0,1-CD123/CC123),0)</f>
        <v/>
      </c>
      <c r="DB123" s="15">
        <f>CQ123*DA123</f>
        <v/>
      </c>
      <c r="DC123" s="15">
        <f>CC123*(1+M123-$B$20)-CQ123+CW123</f>
        <v/>
      </c>
      <c r="DD123" s="15">
        <f>CD123-(CQ123-DB123)+CW123</f>
        <v/>
      </c>
      <c r="DE123" s="15">
        <f>CF123*(1+M123)-CH123-CS123-CY123+Y123+AA123</f>
        <v/>
      </c>
      <c r="DF123" s="15">
        <f>CG123*(1+M123)-CI123-CT123-CZ123+Z123+AB123</f>
        <v/>
      </c>
      <c r="DG123" s="15">
        <f>CJ123*(1+M123)-CU123+CX123</f>
        <v/>
      </c>
      <c r="DH123" s="15">
        <f>AE123+CR123+CH123+CI123+CX123+CV123+BS123+AI123+CA123+CB123</f>
        <v/>
      </c>
      <c r="DI123" s="15">
        <f>CE123+DB123+BU123</f>
        <v/>
      </c>
      <c r="DJ123" s="15">
        <f>IF((DH123+DI123+0.5*F123)&lt;=tax_tables!$B$14,0,IF((DH123+DI123+0.5*F123)&lt;=tax_tables!$B$15,MIN(0.5*F123,0.5*((DH123+DI123+0.5*F123)-tax_tables!$B$14)),MIN(0.85*F123,0.85*((DH123+DI123+0.5*F123)-tax_tables!$B$15)+MIN(0.5*F123,tax_tables!$B$15-tax_tables!$B$14))))</f>
        <v/>
      </c>
      <c r="DK123" s="15">
        <f>DH123+DI123+DJ123</f>
        <v/>
      </c>
      <c r="DL123" s="12">
        <f>(B123&gt;=65)+(C123&gt;=65)</f>
        <v/>
      </c>
      <c r="DM123" s="15">
        <f>(tax_tables!$B$5+tax_tables!$B$6*DL123)*P123</f>
        <v/>
      </c>
      <c r="DN123" s="15">
        <f>IF(AND(A123&gt;=tax_tables!$B$8,A123&lt;=tax_tables!$B$9),DL123*MAX(0,tax_tables!$B$7-tax_tables!$B$11*MAX(0,DK123-tax_tables!$B$10)),0)</f>
        <v/>
      </c>
      <c r="DO123" s="15">
        <f>IFERROR(MAX(tax_tables!$B$16,INDEX(tax_tables!$W$5:$W$8,MATCH(A123,tax_tables!$V$5:$V$8,0))-tax_tables!$B$18*MAX(0,DK123-tax_tables!$B$17*1.01^(A123-tax_tables!$B$4))),tax_tables!$B$16)</f>
        <v/>
      </c>
      <c r="DP123" s="15">
        <f>MAX(0,BM123-BB123-tax_tables!$B$23*DK123)</f>
        <v/>
      </c>
      <c r="DQ123" s="15">
        <f>AN123+MIN(DO123,DY122+DZ122+EA122+AL123*properties!$H$2*O123)+DP123+$B$61*O123</f>
        <v/>
      </c>
      <c r="DR123" s="15">
        <f>MAX(DM123,DQ123)</f>
        <v/>
      </c>
      <c r="DS123" s="15">
        <f>MAX(0,DH123+DJ123-DR123-DN123)</f>
        <v/>
      </c>
      <c r="DT123" s="15">
        <f>MAX(0,DI123-MAX(0,DR123+DN123-DH123-DJ123))</f>
        <v/>
      </c>
      <c r="DU123" s="15">
        <f>SUMPRODUCT((DS123&gt;tax_tables!$E$5:$E$16*P123)*(DS123-tax_tables!$E$5:$E$16*P123)*tax_tables!$G$5:$G$16)+SUMPRODUCT(((DS123+DT123)&gt;tax_tables!$I$5:$I$16*P123)*((DS123+DT123)-tax_tables!$I$5:$I$16*P123)*tax_tables!$K$5:$K$16)-SUMPRODUCT((DS123&gt;tax_tables!$I$5:$I$16*P123)*(DS123-tax_tables!$I$5:$I$16*P123)*tax_tables!$K$5:$K$16)+tax_tables!$B$19*BV123+tax_tables!$B$12*MIN(CE123+DB123+BS123+BU123,MAX(0,DK123-tax_tables!$B$13))</f>
        <v/>
      </c>
      <c r="DV123" s="12">
        <f>IF($B$39="",0,IF(A123&gt;=$B$39,1,0))</f>
        <v/>
      </c>
      <c r="DW123" s="15">
        <f>IF(B123+0.5&gt;=tax_tables!$B$30,MIN(CS123+CH123+CY123+CA123,tax_tables!$B$29),0)+IF(C123+0.5&gt;=tax_tables!$B$30,MIN(CT123+CI123+CZ123+CB123,tax_tables!$B$29),0)</f>
        <v/>
      </c>
      <c r="DX123" s="15">
        <f>MAX(0,DK123-tax_tables!$B$28*DJ123-DW123-tax_tables!$B$26*IF(tax_tables!$B$27=1,P123,1))</f>
        <v/>
      </c>
      <c r="DY123" s="15">
        <f>(1-DV123)*SUMPRODUCT((DX123&gt;tax_tables!$M$5:$M$16*IF(tax_tables!$B$27=1,P123,1))*(DX123-tax_tables!$M$5:$M$16*IF(tax_tables!$B$27=1,P123,1))*tax_tables!$O$5:$O$16)</f>
        <v/>
      </c>
      <c r="DZ123" s="15">
        <f>(1-DV123)*tax_tables!$B$31*DX123</f>
        <v/>
      </c>
      <c r="EA123" s="15">
        <f>DV123*$B$40*MAX(0,DK123-DJ123)</f>
        <v/>
      </c>
      <c r="EB123" s="15">
        <f>DU123+DY123+DZ123+EA123</f>
        <v/>
      </c>
      <c r="EC123" s="15">
        <f>DC123+DE123+DF123+DG123+BP123</f>
        <v/>
      </c>
      <c r="ED123" s="15">
        <f>EC123+BW123-AP123+BX123</f>
        <v/>
      </c>
    </row>
    <row r="124">
      <c r="A124" s="12">
        <f>A123+1</f>
        <v/>
      </c>
      <c r="B124" s="12">
        <f>A124-household!$B$6</f>
        <v/>
      </c>
      <c r="C124" s="12">
        <f>A124-household!$B$9</f>
        <v/>
      </c>
      <c r="D124" s="15">
        <f>AS124+AT124+AU124+AV124+AZ124+BM124+AK124</f>
        <v/>
      </c>
      <c r="E124" s="15">
        <f>CN124+AG124+AF124</f>
        <v/>
      </c>
      <c r="F124" s="15">
        <f>BY124+BZ124</f>
        <v/>
      </c>
      <c r="G124" s="15">
        <f>CQ124+CR124+CU124+CH124+CI124+CE124-CW124+CV124+BO124</f>
        <v/>
      </c>
      <c r="H124" s="22">
        <f>IF(CC124+CF124+CG124+CJ124+BN124&lt;=0,"",G124/(CC124+CF124+CG124+CJ124+BN124))</f>
        <v/>
      </c>
      <c r="I124" s="23">
        <f>EC124/O124</f>
        <v/>
      </c>
      <c r="J124" s="23">
        <f>ED124/O124</f>
        <v/>
      </c>
      <c r="K124" s="15">
        <f>MAX(0,CP124-CQ124-CR124-CU124-CV124)</f>
        <v/>
      </c>
      <c r="L124" s="11" t="n"/>
      <c r="M124" s="22">
        <f>IF(L124="",$B$19,L124)</f>
        <v/>
      </c>
      <c r="N124" s="14" t="n"/>
      <c r="O124" s="13">
        <f>(1+$B$18)^(A124-household!$B$4+1)</f>
        <v/>
      </c>
      <c r="P124" s="13">
        <f>(1+$B$18)^(A124-tax_tables!$B$4)</f>
        <v/>
      </c>
      <c r="Q124" s="13">
        <f>(1+$B$21)^(A124-household!$B$4+1)</f>
        <v/>
      </c>
      <c r="R124" s="13">
        <f>(1+$B$22)^(A124-household!$B$4+1)</f>
        <v/>
      </c>
      <c r="S124" s="13">
        <f>(1+$B$23)^(A124-household!$B$4+1)</f>
        <v/>
      </c>
      <c r="T124" s="12">
        <f>IF(A124&lt;$B$5,1,0)</f>
        <v/>
      </c>
      <c r="U124" s="12">
        <f>IF(A124&lt;$B$6,1,0)</f>
        <v/>
      </c>
      <c r="V124" s="12">
        <f>IF(T124+U124&gt;0,1,0)</f>
        <v/>
      </c>
      <c r="W124" s="15">
        <f>T124*$B$7*O124+SUMPRODUCT(($B$83:$B$88=A124)*($D$83:$D$88="Wages: person 1")*$C$83:$C$88)*O124</f>
        <v/>
      </c>
      <c r="X124" s="15">
        <f>U124*$B$8*O124+SUMPRODUCT(($B$83:$B$88=A124)*($D$83:$D$88="Wages: person 2")*$C$83:$C$88)*O124</f>
        <v/>
      </c>
      <c r="Y124" s="15">
        <f>T124*$B$9*O124</f>
        <v/>
      </c>
      <c r="Z124" s="15">
        <f>U124*$B$10*O124</f>
        <v/>
      </c>
      <c r="AA124" s="15">
        <f>T124*$B$11*O124</f>
        <v/>
      </c>
      <c r="AB124" s="15">
        <f>U124*$B$12*O124</f>
        <v/>
      </c>
      <c r="AC124" s="15">
        <f>V124*$B$13*O124</f>
        <v/>
      </c>
      <c r="AD124" s="15">
        <f>W124+X124</f>
        <v/>
      </c>
      <c r="AE124" s="15">
        <f>AD124-Y124-Z124-AC124</f>
        <v/>
      </c>
      <c r="AF124" s="15">
        <f>0.062*MIN(W124,tax_tables!$B$21*P124)+0.062*MIN(X124,tax_tables!$B$21*P124)+0.0145*AD124+0.009*MAX(0,AD124-tax_tables!$B$22)</f>
        <v/>
      </c>
      <c r="AG124" s="15">
        <f>$B$14*AE124</f>
        <v/>
      </c>
      <c r="AH124" s="15">
        <f>AD124-Y124-Z124-AC124-AF124-AG124</f>
        <v/>
      </c>
      <c r="AI124" s="15">
        <f>SUMPRODUCT(($B$83:$B$88=A124)*($D$83:$D$88="Other taxable income")*$C$83:$C$88)*O124</f>
        <v/>
      </c>
      <c r="AJ124" s="15">
        <f>SUMPRODUCT(($B$83:$B$88=A124)*($D$83:$D$88="Tax-free money in")*$C$83:$C$88)*O124</f>
        <v/>
      </c>
      <c r="AK124" s="15">
        <f>SUMPRODUCT(($B$83:$B$88=A124)*($D$83:$D$88="Expense")*$C$83:$C$88)*O124</f>
        <v/>
      </c>
      <c r="AL124" s="12">
        <f>IF(OR($B$75="",A124&lt;$B$75),1,0)</f>
        <v/>
      </c>
      <c r="AM124" s="15">
        <f>AP123</f>
        <v/>
      </c>
      <c r="AN124" s="15">
        <f>AL124*AM124*properties!$J$2</f>
        <v/>
      </c>
      <c r="AO124" s="15">
        <f>AL124*MIN(properties!$K$2,AM124+AN124)</f>
        <v/>
      </c>
      <c r="AP124" s="15">
        <f>AL124*(AM124+AN124-AO124)</f>
        <v/>
      </c>
      <c r="AQ124" s="15">
        <f>AL124*properties!$G$2*O124</f>
        <v/>
      </c>
      <c r="AR124" s="15">
        <f>(1-AL124)*$E$75*O124</f>
        <v/>
      </c>
      <c r="AS124" s="15">
        <f>AO124+AQ124+AR124</f>
        <v/>
      </c>
      <c r="AT124" s="15">
        <f>SUMIF(budget!$A$2:$A$300,"household",budget!$F$2:$F$300)*O124*IF(N124="",1,N124)</f>
        <v/>
      </c>
      <c r="AU124" s="15">
        <f>SUMPRODUCT((other_budget!$C$2:$C$30&lt;=A124)*(other_budget!$D$2:$D$30&gt;=A124)*other_budget!$B$2:$B$30)*O124</f>
        <v/>
      </c>
      <c r="AV124" s="15">
        <f>SUMPRODUCT((kids_budget!$D$2:$D$40&lt;=A124)*(kids_budget!$E$2:$E$40&gt;=A124)*(kids_budget!$G$2:$G$40&lt;&gt;"college_funds")*kids_budget!$C$2:$C$40*((kids_budget!$F$2:$F$40="college")*R124+(kids_budget!$F$2:$F$40&lt;&gt;"college")*O124))</f>
        <v/>
      </c>
      <c r="AW124" s="15">
        <f>SUMPRODUCT((kids_budget!$D$2:$D$40&lt;=A124)*(kids_budget!$E$2:$E$40&gt;=A124)*(kids_budget!$G$2:$G$40="college_funds")*kids_budget!$C$2:$C$40*((kids_budget!$F$2:$F$40="college")*R124+(kids_budget!$F$2:$F$40&lt;&gt;"college")*O124))</f>
        <v/>
      </c>
      <c r="AX124" s="15">
        <f>BA123</f>
        <v/>
      </c>
      <c r="AY124" s="15">
        <f>MIN(AW124,AX124*(1+M124))</f>
        <v/>
      </c>
      <c r="AZ124" s="15">
        <f>AW124-AY124</f>
        <v/>
      </c>
      <c r="BA124" s="15">
        <f>AX124*(1+M124)-AY124</f>
        <v/>
      </c>
      <c r="BB124" s="15">
        <f>V124*healthcare!$B$5*Q124</f>
        <v/>
      </c>
      <c r="BC124" s="12">
        <f>(1-V124)*((B124&lt;65)+(C124&lt;65))</f>
        <v/>
      </c>
      <c r="BD124" s="12">
        <f>COUNTIF(household!$C$16:$C$23,"&gt;="&amp;A124)</f>
        <v/>
      </c>
      <c r="BE124" s="15">
        <f>(BC124*healthcare!$B$2+IF(BC124&gt;0,BD124,0)*healthcare!$B$3)*12*Q124</f>
        <v/>
      </c>
      <c r="BF124" s="15">
        <f>IF(BC124&gt;0,(BC124+BD124)*healthcare!$B$4*Q124,0)</f>
        <v/>
      </c>
      <c r="BG124" s="12">
        <f>(B124&gt;=65)+(C124&gt;=65)</f>
        <v/>
      </c>
      <c r="BH124" s="15">
        <f>BG124*(healthcare!$B$6+healthcare!$B$7+healthcare!$B$8)*12*Q124</f>
        <v/>
      </c>
      <c r="BI124" s="15">
        <f>BG124*healthcare!$B$9*Q124</f>
        <v/>
      </c>
      <c r="BJ124" s="15">
        <f>BG124*12*O124*SUMPRODUCT((DK122&gt;tax_tables!$Q$5:$Q$9*P124)*tax_tables!$T$5:$T$9)</f>
        <v/>
      </c>
      <c r="BK124" s="12">
        <f>AND(B124&gt;=$B$51,B124&lt;$B$51+$B$52)*1+AND(C124&gt;=$B$53,C124&lt;$B$53+$B$54)*1</f>
        <v/>
      </c>
      <c r="BL124" s="15">
        <f>BK124*$B$55*S124</f>
        <v/>
      </c>
      <c r="BM124" s="15">
        <f>BB124+BE124+BF124+BH124+BI124+BJ124+BL124</f>
        <v/>
      </c>
      <c r="BN124" s="15">
        <f>BP123</f>
        <v/>
      </c>
      <c r="BO124" s="15">
        <f>IF(V124=1,0,MIN(BN124*(1+M124),BF124+BG124*(healthcare!$B$6+healthcare!$B$7)*12*Q124+BI124+BJ124+BL124))</f>
        <v/>
      </c>
      <c r="BP124" s="15">
        <f>BN124*(1+M124)-BO124+AC124-CV124</f>
        <v/>
      </c>
      <c r="BQ124" s="15">
        <f>SUMPRODUCT((1-($B$76:$B$79&gt;0)*(A124&gt;=$B$76:$B$79))*(1-(($C$76:$C$79&gt;0)*(A124&gt;=$C$76:$C$79)))*(properties!$L$3:$L$6-properties!$M$3:$M$6))*O124+SUMPRODUCT((1-($B$76:$B$79&gt;0)*(A124&gt;=$B$76:$B$79))*(($C$76:$C$79&gt;0)*(A124&gt;=$C$76:$C$79))*($D$76:$D$79-$E$76:$E$79))*O124</f>
        <v/>
      </c>
      <c r="BR124" s="15">
        <f>SUMPRODUCT((1-($B$76:$B$79&gt;0)*(A124&gt;=$B$76:$B$79))*properties!$N$3:$N$6*(A124&lt;=properties!$O$3:$O$6))</f>
        <v/>
      </c>
      <c r="BS124" s="15">
        <f>MAX(0,BQ124-BR124)</f>
        <v/>
      </c>
      <c r="BT124" s="15">
        <f>SUMPRODUCT(($B$75:$B$79=A124)*$G$75:$G$79)</f>
        <v/>
      </c>
      <c r="BU124" s="15">
        <f>SUMPRODUCT(($B$75:$B$79=A124)*$H$75:$H$79)</f>
        <v/>
      </c>
      <c r="BV124" s="15">
        <f>SUMPRODUCT(($B$75:$B$79=A124)*$I$75:$I$79)</f>
        <v/>
      </c>
      <c r="BW124" s="15">
        <f>AL124*properties!$C$2*(1+properties!$D$2)^(A124-household!$B$4+1)</f>
        <v/>
      </c>
      <c r="BX124" s="15">
        <f>SUMPRODUCT((1-($B$76:$B$79&gt;0)*(A124&gt;=$B$76:$B$79))*properties!$C$3:$C$6*(1+properties!$D$3:$D$6)^(A124-household!$B$4+1))</f>
        <v/>
      </c>
      <c r="BY124" s="15">
        <f>IF(A124&gt;=$B$31,IF(A124&gt;=$B$32,MAX(household!$B$11*12*(1-$B$28)*O124*IF(A124&gt;=$B$30,1-$B$29,1)*$B$33,0.5*household!$B$12*12*(1-$B$28)*O124*IF(A124&gt;=$B$30,1-$B$29,1)*$B$35),household!$B$11*12*(1-$B$28)*O124*IF(A124&gt;=$B$30,1-$B$29,1)*$B$33),0)</f>
        <v/>
      </c>
      <c r="BZ124" s="15">
        <f>IF(A124&gt;=$B$32,IF(A124&gt;=$B$31,MAX(household!$B$12*12*(1-$B$28)*O124*IF(A124&gt;=$B$30,1-$B$29,1)*$B$34,0.5*household!$B$11*12*(1-$B$28)*O124*IF(A124&gt;=$B$30,1-$B$29,1)*$B$36),household!$B$12*12*(1-$B$28)*O124*IF(A124&gt;=$B$30,1-$B$29,1)*$B$34),0)</f>
        <v/>
      </c>
      <c r="CA124" s="15">
        <f>IF(AND($B$43&lt;&gt;0,A124&gt;=household!$B$6+$B$44),$B$43*(1+$B$18)^(MAX(household!$B$6+$B$44,household!$B$4-1)-household!$B$4+1)*(1+$B$47*$B$18)^(A124-MAX(household!$B$6+$B$44,household!$B$4-1)),0)</f>
        <v/>
      </c>
      <c r="CB124" s="15">
        <f>IF(AND($B$45&lt;&gt;0,A124&gt;=household!$B$9+$B$46),$B$45*(1+$B$18)^(MAX(household!$B$9+$B$46,household!$B$4-1)-household!$B$4+1)*(1+$B$47*$B$18)^(A124-MAX(household!$B$9+$B$46,household!$B$4-1)),0)</f>
        <v/>
      </c>
      <c r="CC124" s="15">
        <f>DC123</f>
        <v/>
      </c>
      <c r="CD124" s="15">
        <f>DD123</f>
        <v/>
      </c>
      <c r="CE124" s="15">
        <f>$B$20*CC124</f>
        <v/>
      </c>
      <c r="CF124" s="15">
        <f>DE123</f>
        <v/>
      </c>
      <c r="CG124" s="15">
        <f>DF123</f>
        <v/>
      </c>
      <c r="CH124" s="15">
        <f>IF(B124&gt;=$B$71,MAX(0,CF124)/INDEX(tax_tables!$Z$5:$Z$53,MATCH(B124,tax_tables!$Y$5:$Y$53,0)),0)</f>
        <v/>
      </c>
      <c r="CI124" s="15">
        <f>IF(C124&gt;=$B$72,MAX(0,CG124)/INDEX(tax_tables!$Z$5:$Z$53,MATCH(C124,tax_tables!$Y$5:$Y$53,0)),0)</f>
        <v/>
      </c>
      <c r="CJ124" s="15">
        <f>DG123</f>
        <v/>
      </c>
      <c r="CK124" s="15">
        <f>IF(OR($B$59="",$B$60=""),0,IF(AND(A124&gt;=$B$59,A124&lt;=$B$60),$B$58*O124,0))</f>
        <v/>
      </c>
      <c r="CL124" s="15">
        <f>MAX(0,CF124*(1+M124)-CH124)</f>
        <v/>
      </c>
      <c r="CM124" s="15">
        <f>MAX(0,CG124*(1+M124)-CI124)</f>
        <v/>
      </c>
      <c r="CN124" s="15">
        <f>EB123-AG123</f>
        <v/>
      </c>
      <c r="CO124" s="15">
        <f>AH124+F124+CA124+CB124+BQ124+CE124+CH124+CI124+BT124+AI124+AJ124+BO124</f>
        <v/>
      </c>
      <c r="CP124" s="15">
        <f>D124+CN124-CO124</f>
        <v/>
      </c>
      <c r="CQ124" s="15">
        <f>MAX(0,MIN(CP124,CC124*(1+M124-$B$20)))</f>
        <v/>
      </c>
      <c r="CR124" s="15">
        <f>MAX(0,MIN(CP124-CQ124,CL124+CM124))</f>
        <v/>
      </c>
      <c r="CS124" s="15">
        <f>IF(CL124+CM124&gt;1,CR124*CL124/(CL124+CM124),0)</f>
        <v/>
      </c>
      <c r="CT124" s="15">
        <f>CR124-CS124</f>
        <v/>
      </c>
      <c r="CU124" s="15">
        <f>MAX(0,MIN(CP124-CQ124-CR124,CJ124*(1+M124)))</f>
        <v/>
      </c>
      <c r="CV124" s="15">
        <f>MAX(0,MIN(CP124-CQ124-CR124-CU124,BN124*(1+M124)-BO124+AC124))</f>
        <v/>
      </c>
      <c r="CW124" s="15">
        <f>MAX(0,-CP124)</f>
        <v/>
      </c>
      <c r="CX124" s="15">
        <f>MIN(CK124,CL124-CS124+CM124-CT124)</f>
        <v/>
      </c>
      <c r="CY124" s="15">
        <f>IF(CL124-CS124+CM124-CT124&gt;1,CX124*(CL124-CS124)/(CL124-CS124+CM124-CT124),0)</f>
        <v/>
      </c>
      <c r="CZ124" s="15">
        <f>CX124-CY124</f>
        <v/>
      </c>
      <c r="DA124" s="22">
        <f>IF(CC124&gt;0,MAX(0,1-CD124/CC124),0)</f>
        <v/>
      </c>
      <c r="DB124" s="15">
        <f>CQ124*DA124</f>
        <v/>
      </c>
      <c r="DC124" s="15">
        <f>CC124*(1+M124-$B$20)-CQ124+CW124</f>
        <v/>
      </c>
      <c r="DD124" s="15">
        <f>CD124-(CQ124-DB124)+CW124</f>
        <v/>
      </c>
      <c r="DE124" s="15">
        <f>CF124*(1+M124)-CH124-CS124-CY124+Y124+AA124</f>
        <v/>
      </c>
      <c r="DF124" s="15">
        <f>CG124*(1+M124)-CI124-CT124-CZ124+Z124+AB124</f>
        <v/>
      </c>
      <c r="DG124" s="15">
        <f>CJ124*(1+M124)-CU124+CX124</f>
        <v/>
      </c>
      <c r="DH124" s="15">
        <f>AE124+CR124+CH124+CI124+CX124+CV124+BS124+AI124+CA124+CB124</f>
        <v/>
      </c>
      <c r="DI124" s="15">
        <f>CE124+DB124+BU124</f>
        <v/>
      </c>
      <c r="DJ124" s="15">
        <f>IF((DH124+DI124+0.5*F124)&lt;=tax_tables!$B$14,0,IF((DH124+DI124+0.5*F124)&lt;=tax_tables!$B$15,MIN(0.5*F124,0.5*((DH124+DI124+0.5*F124)-tax_tables!$B$14)),MIN(0.85*F124,0.85*((DH124+DI124+0.5*F124)-tax_tables!$B$15)+MIN(0.5*F124,tax_tables!$B$15-tax_tables!$B$14))))</f>
        <v/>
      </c>
      <c r="DK124" s="15">
        <f>DH124+DI124+DJ124</f>
        <v/>
      </c>
      <c r="DL124" s="12">
        <f>(B124&gt;=65)+(C124&gt;=65)</f>
        <v/>
      </c>
      <c r="DM124" s="15">
        <f>(tax_tables!$B$5+tax_tables!$B$6*DL124)*P124</f>
        <v/>
      </c>
      <c r="DN124" s="15">
        <f>IF(AND(A124&gt;=tax_tables!$B$8,A124&lt;=tax_tables!$B$9),DL124*MAX(0,tax_tables!$B$7-tax_tables!$B$11*MAX(0,DK124-tax_tables!$B$10)),0)</f>
        <v/>
      </c>
      <c r="DO124" s="15">
        <f>IFERROR(MAX(tax_tables!$B$16,INDEX(tax_tables!$W$5:$W$8,MATCH(A124,tax_tables!$V$5:$V$8,0))-tax_tables!$B$18*MAX(0,DK124-tax_tables!$B$17*1.01^(A124-tax_tables!$B$4))),tax_tables!$B$16)</f>
        <v/>
      </c>
      <c r="DP124" s="15">
        <f>MAX(0,BM124-BB124-tax_tables!$B$23*DK124)</f>
        <v/>
      </c>
      <c r="DQ124" s="15">
        <f>AN124+MIN(DO124,DY123+DZ123+EA123+AL124*properties!$H$2*O124)+DP124+$B$61*O124</f>
        <v/>
      </c>
      <c r="DR124" s="15">
        <f>MAX(DM124,DQ124)</f>
        <v/>
      </c>
      <c r="DS124" s="15">
        <f>MAX(0,DH124+DJ124-DR124-DN124)</f>
        <v/>
      </c>
      <c r="DT124" s="15">
        <f>MAX(0,DI124-MAX(0,DR124+DN124-DH124-DJ124))</f>
        <v/>
      </c>
      <c r="DU124" s="15">
        <f>SUMPRODUCT((DS124&gt;tax_tables!$E$5:$E$16*P124)*(DS124-tax_tables!$E$5:$E$16*P124)*tax_tables!$G$5:$G$16)+SUMPRODUCT(((DS124+DT124)&gt;tax_tables!$I$5:$I$16*P124)*((DS124+DT124)-tax_tables!$I$5:$I$16*P124)*tax_tables!$K$5:$K$16)-SUMPRODUCT((DS124&gt;tax_tables!$I$5:$I$16*P124)*(DS124-tax_tables!$I$5:$I$16*P124)*tax_tables!$K$5:$K$16)+tax_tables!$B$19*BV124+tax_tables!$B$12*MIN(CE124+DB124+BS124+BU124,MAX(0,DK124-tax_tables!$B$13))</f>
        <v/>
      </c>
      <c r="DV124" s="12">
        <f>IF($B$39="",0,IF(A124&gt;=$B$39,1,0))</f>
        <v/>
      </c>
      <c r="DW124" s="15">
        <f>IF(B124+0.5&gt;=tax_tables!$B$30,MIN(CS124+CH124+CY124+CA124,tax_tables!$B$29),0)+IF(C124+0.5&gt;=tax_tables!$B$30,MIN(CT124+CI124+CZ124+CB124,tax_tables!$B$29),0)</f>
        <v/>
      </c>
      <c r="DX124" s="15">
        <f>MAX(0,DK124-tax_tables!$B$28*DJ124-DW124-tax_tables!$B$26*IF(tax_tables!$B$27=1,P124,1))</f>
        <v/>
      </c>
      <c r="DY124" s="15">
        <f>(1-DV124)*SUMPRODUCT((DX124&gt;tax_tables!$M$5:$M$16*IF(tax_tables!$B$27=1,P124,1))*(DX124-tax_tables!$M$5:$M$16*IF(tax_tables!$B$27=1,P124,1))*tax_tables!$O$5:$O$16)</f>
        <v/>
      </c>
      <c r="DZ124" s="15">
        <f>(1-DV124)*tax_tables!$B$31*DX124</f>
        <v/>
      </c>
      <c r="EA124" s="15">
        <f>DV124*$B$40*MAX(0,DK124-DJ124)</f>
        <v/>
      </c>
      <c r="EB124" s="15">
        <f>DU124+DY124+DZ124+EA124</f>
        <v/>
      </c>
      <c r="EC124" s="15">
        <f>DC124+DE124+DF124+DG124+BP124</f>
        <v/>
      </c>
      <c r="ED124" s="15">
        <f>EC124+BW124-AP124+BX124</f>
        <v/>
      </c>
    </row>
    <row r="125">
      <c r="A125" s="12">
        <f>A124+1</f>
        <v/>
      </c>
      <c r="B125" s="12">
        <f>A125-household!$B$6</f>
        <v/>
      </c>
      <c r="C125" s="12">
        <f>A125-household!$B$9</f>
        <v/>
      </c>
      <c r="D125" s="15">
        <f>AS125+AT125+AU125+AV125+AZ125+BM125+AK125</f>
        <v/>
      </c>
      <c r="E125" s="15">
        <f>CN125+AG125+AF125</f>
        <v/>
      </c>
      <c r="F125" s="15">
        <f>BY125+BZ125</f>
        <v/>
      </c>
      <c r="G125" s="15">
        <f>CQ125+CR125+CU125+CH125+CI125+CE125-CW125+CV125+BO125</f>
        <v/>
      </c>
      <c r="H125" s="22">
        <f>IF(CC125+CF125+CG125+CJ125+BN125&lt;=0,"",G125/(CC125+CF125+CG125+CJ125+BN125))</f>
        <v/>
      </c>
      <c r="I125" s="23">
        <f>EC125/O125</f>
        <v/>
      </c>
      <c r="J125" s="23">
        <f>ED125/O125</f>
        <v/>
      </c>
      <c r="K125" s="15">
        <f>MAX(0,CP125-CQ125-CR125-CU125-CV125)</f>
        <v/>
      </c>
      <c r="L125" s="11" t="n"/>
      <c r="M125" s="22">
        <f>IF(L125="",$B$19,L125)</f>
        <v/>
      </c>
      <c r="N125" s="14" t="n"/>
      <c r="O125" s="13">
        <f>(1+$B$18)^(A125-household!$B$4+1)</f>
        <v/>
      </c>
      <c r="P125" s="13">
        <f>(1+$B$18)^(A125-tax_tables!$B$4)</f>
        <v/>
      </c>
      <c r="Q125" s="13">
        <f>(1+$B$21)^(A125-household!$B$4+1)</f>
        <v/>
      </c>
      <c r="R125" s="13">
        <f>(1+$B$22)^(A125-household!$B$4+1)</f>
        <v/>
      </c>
      <c r="S125" s="13">
        <f>(1+$B$23)^(A125-household!$B$4+1)</f>
        <v/>
      </c>
      <c r="T125" s="12">
        <f>IF(A125&lt;$B$5,1,0)</f>
        <v/>
      </c>
      <c r="U125" s="12">
        <f>IF(A125&lt;$B$6,1,0)</f>
        <v/>
      </c>
      <c r="V125" s="12">
        <f>IF(T125+U125&gt;0,1,0)</f>
        <v/>
      </c>
      <c r="W125" s="15">
        <f>T125*$B$7*O125+SUMPRODUCT(($B$83:$B$88=A125)*($D$83:$D$88="Wages: person 1")*$C$83:$C$88)*O125</f>
        <v/>
      </c>
      <c r="X125" s="15">
        <f>U125*$B$8*O125+SUMPRODUCT(($B$83:$B$88=A125)*($D$83:$D$88="Wages: person 2")*$C$83:$C$88)*O125</f>
        <v/>
      </c>
      <c r="Y125" s="15">
        <f>T125*$B$9*O125</f>
        <v/>
      </c>
      <c r="Z125" s="15">
        <f>U125*$B$10*O125</f>
        <v/>
      </c>
      <c r="AA125" s="15">
        <f>T125*$B$11*O125</f>
        <v/>
      </c>
      <c r="AB125" s="15">
        <f>U125*$B$12*O125</f>
        <v/>
      </c>
      <c r="AC125" s="15">
        <f>V125*$B$13*O125</f>
        <v/>
      </c>
      <c r="AD125" s="15">
        <f>W125+X125</f>
        <v/>
      </c>
      <c r="AE125" s="15">
        <f>AD125-Y125-Z125-AC125</f>
        <v/>
      </c>
      <c r="AF125" s="15">
        <f>0.062*MIN(W125,tax_tables!$B$21*P125)+0.062*MIN(X125,tax_tables!$B$21*P125)+0.0145*AD125+0.009*MAX(0,AD125-tax_tables!$B$22)</f>
        <v/>
      </c>
      <c r="AG125" s="15">
        <f>$B$14*AE125</f>
        <v/>
      </c>
      <c r="AH125" s="15">
        <f>AD125-Y125-Z125-AC125-AF125-AG125</f>
        <v/>
      </c>
      <c r="AI125" s="15">
        <f>SUMPRODUCT(($B$83:$B$88=A125)*($D$83:$D$88="Other taxable income")*$C$83:$C$88)*O125</f>
        <v/>
      </c>
      <c r="AJ125" s="15">
        <f>SUMPRODUCT(($B$83:$B$88=A125)*($D$83:$D$88="Tax-free money in")*$C$83:$C$88)*O125</f>
        <v/>
      </c>
      <c r="AK125" s="15">
        <f>SUMPRODUCT(($B$83:$B$88=A125)*($D$83:$D$88="Expense")*$C$83:$C$88)*O125</f>
        <v/>
      </c>
      <c r="AL125" s="12">
        <f>IF(OR($B$75="",A125&lt;$B$75),1,0)</f>
        <v/>
      </c>
      <c r="AM125" s="15">
        <f>AP124</f>
        <v/>
      </c>
      <c r="AN125" s="15">
        <f>AL125*AM125*properties!$J$2</f>
        <v/>
      </c>
      <c r="AO125" s="15">
        <f>AL125*MIN(properties!$K$2,AM125+AN125)</f>
        <v/>
      </c>
      <c r="AP125" s="15">
        <f>AL125*(AM125+AN125-AO125)</f>
        <v/>
      </c>
      <c r="AQ125" s="15">
        <f>AL125*properties!$G$2*O125</f>
        <v/>
      </c>
      <c r="AR125" s="15">
        <f>(1-AL125)*$E$75*O125</f>
        <v/>
      </c>
      <c r="AS125" s="15">
        <f>AO125+AQ125+AR125</f>
        <v/>
      </c>
      <c r="AT125" s="15">
        <f>SUMIF(budget!$A$2:$A$300,"household",budget!$F$2:$F$300)*O125*IF(N125="",1,N125)</f>
        <v/>
      </c>
      <c r="AU125" s="15">
        <f>SUMPRODUCT((other_budget!$C$2:$C$30&lt;=A125)*(other_budget!$D$2:$D$30&gt;=A125)*other_budget!$B$2:$B$30)*O125</f>
        <v/>
      </c>
      <c r="AV125" s="15">
        <f>SUMPRODUCT((kids_budget!$D$2:$D$40&lt;=A125)*(kids_budget!$E$2:$E$40&gt;=A125)*(kids_budget!$G$2:$G$40&lt;&gt;"college_funds")*kids_budget!$C$2:$C$40*((kids_budget!$F$2:$F$40="college")*R125+(kids_budget!$F$2:$F$40&lt;&gt;"college")*O125))</f>
        <v/>
      </c>
      <c r="AW125" s="15">
        <f>SUMPRODUCT((kids_budget!$D$2:$D$40&lt;=A125)*(kids_budget!$E$2:$E$40&gt;=A125)*(kids_budget!$G$2:$G$40="college_funds")*kids_budget!$C$2:$C$40*((kids_budget!$F$2:$F$40="college")*R125+(kids_budget!$F$2:$F$40&lt;&gt;"college")*O125))</f>
        <v/>
      </c>
      <c r="AX125" s="15">
        <f>BA124</f>
        <v/>
      </c>
      <c r="AY125" s="15">
        <f>MIN(AW125,AX125*(1+M125))</f>
        <v/>
      </c>
      <c r="AZ125" s="15">
        <f>AW125-AY125</f>
        <v/>
      </c>
      <c r="BA125" s="15">
        <f>AX125*(1+M125)-AY125</f>
        <v/>
      </c>
      <c r="BB125" s="15">
        <f>V125*healthcare!$B$5*Q125</f>
        <v/>
      </c>
      <c r="BC125" s="12">
        <f>(1-V125)*((B125&lt;65)+(C125&lt;65))</f>
        <v/>
      </c>
      <c r="BD125" s="12">
        <f>COUNTIF(household!$C$16:$C$23,"&gt;="&amp;A125)</f>
        <v/>
      </c>
      <c r="BE125" s="15">
        <f>(BC125*healthcare!$B$2+IF(BC125&gt;0,BD125,0)*healthcare!$B$3)*12*Q125</f>
        <v/>
      </c>
      <c r="BF125" s="15">
        <f>IF(BC125&gt;0,(BC125+BD125)*healthcare!$B$4*Q125,0)</f>
        <v/>
      </c>
      <c r="BG125" s="12">
        <f>(B125&gt;=65)+(C125&gt;=65)</f>
        <v/>
      </c>
      <c r="BH125" s="15">
        <f>BG125*(healthcare!$B$6+healthcare!$B$7+healthcare!$B$8)*12*Q125</f>
        <v/>
      </c>
      <c r="BI125" s="15">
        <f>BG125*healthcare!$B$9*Q125</f>
        <v/>
      </c>
      <c r="BJ125" s="15">
        <f>BG125*12*O125*SUMPRODUCT((DK123&gt;tax_tables!$Q$5:$Q$9*P125)*tax_tables!$T$5:$T$9)</f>
        <v/>
      </c>
      <c r="BK125" s="12">
        <f>AND(B125&gt;=$B$51,B125&lt;$B$51+$B$52)*1+AND(C125&gt;=$B$53,C125&lt;$B$53+$B$54)*1</f>
        <v/>
      </c>
      <c r="BL125" s="15">
        <f>BK125*$B$55*S125</f>
        <v/>
      </c>
      <c r="BM125" s="15">
        <f>BB125+BE125+BF125+BH125+BI125+BJ125+BL125</f>
        <v/>
      </c>
      <c r="BN125" s="15">
        <f>BP124</f>
        <v/>
      </c>
      <c r="BO125" s="15">
        <f>IF(V125=1,0,MIN(BN125*(1+M125),BF125+BG125*(healthcare!$B$6+healthcare!$B$7)*12*Q125+BI125+BJ125+BL125))</f>
        <v/>
      </c>
      <c r="BP125" s="15">
        <f>BN125*(1+M125)-BO125+AC125-CV125</f>
        <v/>
      </c>
      <c r="BQ125" s="15">
        <f>SUMPRODUCT((1-($B$76:$B$79&gt;0)*(A125&gt;=$B$76:$B$79))*(1-(($C$76:$C$79&gt;0)*(A125&gt;=$C$76:$C$79)))*(properties!$L$3:$L$6-properties!$M$3:$M$6))*O125+SUMPRODUCT((1-($B$76:$B$79&gt;0)*(A125&gt;=$B$76:$B$79))*(($C$76:$C$79&gt;0)*(A125&gt;=$C$76:$C$79))*($D$76:$D$79-$E$76:$E$79))*O125</f>
        <v/>
      </c>
      <c r="BR125" s="15">
        <f>SUMPRODUCT((1-($B$76:$B$79&gt;0)*(A125&gt;=$B$76:$B$79))*properties!$N$3:$N$6*(A125&lt;=properties!$O$3:$O$6))</f>
        <v/>
      </c>
      <c r="BS125" s="15">
        <f>MAX(0,BQ125-BR125)</f>
        <v/>
      </c>
      <c r="BT125" s="15">
        <f>SUMPRODUCT(($B$75:$B$79=A125)*$G$75:$G$79)</f>
        <v/>
      </c>
      <c r="BU125" s="15">
        <f>SUMPRODUCT(($B$75:$B$79=A125)*$H$75:$H$79)</f>
        <v/>
      </c>
      <c r="BV125" s="15">
        <f>SUMPRODUCT(($B$75:$B$79=A125)*$I$75:$I$79)</f>
        <v/>
      </c>
      <c r="BW125" s="15">
        <f>AL125*properties!$C$2*(1+properties!$D$2)^(A125-household!$B$4+1)</f>
        <v/>
      </c>
      <c r="BX125" s="15">
        <f>SUMPRODUCT((1-($B$76:$B$79&gt;0)*(A125&gt;=$B$76:$B$79))*properties!$C$3:$C$6*(1+properties!$D$3:$D$6)^(A125-household!$B$4+1))</f>
        <v/>
      </c>
      <c r="BY125" s="15">
        <f>IF(A125&gt;=$B$31,IF(A125&gt;=$B$32,MAX(household!$B$11*12*(1-$B$28)*O125*IF(A125&gt;=$B$30,1-$B$29,1)*$B$33,0.5*household!$B$12*12*(1-$B$28)*O125*IF(A125&gt;=$B$30,1-$B$29,1)*$B$35),household!$B$11*12*(1-$B$28)*O125*IF(A125&gt;=$B$30,1-$B$29,1)*$B$33),0)</f>
        <v/>
      </c>
      <c r="BZ125" s="15">
        <f>IF(A125&gt;=$B$32,IF(A125&gt;=$B$31,MAX(household!$B$12*12*(1-$B$28)*O125*IF(A125&gt;=$B$30,1-$B$29,1)*$B$34,0.5*household!$B$11*12*(1-$B$28)*O125*IF(A125&gt;=$B$30,1-$B$29,1)*$B$36),household!$B$12*12*(1-$B$28)*O125*IF(A125&gt;=$B$30,1-$B$29,1)*$B$34),0)</f>
        <v/>
      </c>
      <c r="CA125" s="15">
        <f>IF(AND($B$43&lt;&gt;0,A125&gt;=household!$B$6+$B$44),$B$43*(1+$B$18)^(MAX(household!$B$6+$B$44,household!$B$4-1)-household!$B$4+1)*(1+$B$47*$B$18)^(A125-MAX(household!$B$6+$B$44,household!$B$4-1)),0)</f>
        <v/>
      </c>
      <c r="CB125" s="15">
        <f>IF(AND($B$45&lt;&gt;0,A125&gt;=household!$B$9+$B$46),$B$45*(1+$B$18)^(MAX(household!$B$9+$B$46,household!$B$4-1)-household!$B$4+1)*(1+$B$47*$B$18)^(A125-MAX(household!$B$9+$B$46,household!$B$4-1)),0)</f>
        <v/>
      </c>
      <c r="CC125" s="15">
        <f>DC124</f>
        <v/>
      </c>
      <c r="CD125" s="15">
        <f>DD124</f>
        <v/>
      </c>
      <c r="CE125" s="15">
        <f>$B$20*CC125</f>
        <v/>
      </c>
      <c r="CF125" s="15">
        <f>DE124</f>
        <v/>
      </c>
      <c r="CG125" s="15">
        <f>DF124</f>
        <v/>
      </c>
      <c r="CH125" s="15">
        <f>IF(B125&gt;=$B$71,MAX(0,CF125)/INDEX(tax_tables!$Z$5:$Z$53,MATCH(B125,tax_tables!$Y$5:$Y$53,0)),0)</f>
        <v/>
      </c>
      <c r="CI125" s="15">
        <f>IF(C125&gt;=$B$72,MAX(0,CG125)/INDEX(tax_tables!$Z$5:$Z$53,MATCH(C125,tax_tables!$Y$5:$Y$53,0)),0)</f>
        <v/>
      </c>
      <c r="CJ125" s="15">
        <f>DG124</f>
        <v/>
      </c>
      <c r="CK125" s="15">
        <f>IF(OR($B$59="",$B$60=""),0,IF(AND(A125&gt;=$B$59,A125&lt;=$B$60),$B$58*O125,0))</f>
        <v/>
      </c>
      <c r="CL125" s="15">
        <f>MAX(0,CF125*(1+M125)-CH125)</f>
        <v/>
      </c>
      <c r="CM125" s="15">
        <f>MAX(0,CG125*(1+M125)-CI125)</f>
        <v/>
      </c>
      <c r="CN125" s="15">
        <f>EB124-AG124</f>
        <v/>
      </c>
      <c r="CO125" s="15">
        <f>AH125+F125+CA125+CB125+BQ125+CE125+CH125+CI125+BT125+AI125+AJ125+BO125</f>
        <v/>
      </c>
      <c r="CP125" s="15">
        <f>D125+CN125-CO125</f>
        <v/>
      </c>
      <c r="CQ125" s="15">
        <f>MAX(0,MIN(CP125,CC125*(1+M125-$B$20)))</f>
        <v/>
      </c>
      <c r="CR125" s="15">
        <f>MAX(0,MIN(CP125-CQ125,CL125+CM125))</f>
        <v/>
      </c>
      <c r="CS125" s="15">
        <f>IF(CL125+CM125&gt;1,CR125*CL125/(CL125+CM125),0)</f>
        <v/>
      </c>
      <c r="CT125" s="15">
        <f>CR125-CS125</f>
        <v/>
      </c>
      <c r="CU125" s="15">
        <f>MAX(0,MIN(CP125-CQ125-CR125,CJ125*(1+M125)))</f>
        <v/>
      </c>
      <c r="CV125" s="15">
        <f>MAX(0,MIN(CP125-CQ125-CR125-CU125,BN125*(1+M125)-BO125+AC125))</f>
        <v/>
      </c>
      <c r="CW125" s="15">
        <f>MAX(0,-CP125)</f>
        <v/>
      </c>
      <c r="CX125" s="15">
        <f>MIN(CK125,CL125-CS125+CM125-CT125)</f>
        <v/>
      </c>
      <c r="CY125" s="15">
        <f>IF(CL125-CS125+CM125-CT125&gt;1,CX125*(CL125-CS125)/(CL125-CS125+CM125-CT125),0)</f>
        <v/>
      </c>
      <c r="CZ125" s="15">
        <f>CX125-CY125</f>
        <v/>
      </c>
      <c r="DA125" s="22">
        <f>IF(CC125&gt;0,MAX(0,1-CD125/CC125),0)</f>
        <v/>
      </c>
      <c r="DB125" s="15">
        <f>CQ125*DA125</f>
        <v/>
      </c>
      <c r="DC125" s="15">
        <f>CC125*(1+M125-$B$20)-CQ125+CW125</f>
        <v/>
      </c>
      <c r="DD125" s="15">
        <f>CD125-(CQ125-DB125)+CW125</f>
        <v/>
      </c>
      <c r="DE125" s="15">
        <f>CF125*(1+M125)-CH125-CS125-CY125+Y125+AA125</f>
        <v/>
      </c>
      <c r="DF125" s="15">
        <f>CG125*(1+M125)-CI125-CT125-CZ125+Z125+AB125</f>
        <v/>
      </c>
      <c r="DG125" s="15">
        <f>CJ125*(1+M125)-CU125+CX125</f>
        <v/>
      </c>
      <c r="DH125" s="15">
        <f>AE125+CR125+CH125+CI125+CX125+CV125+BS125+AI125+CA125+CB125</f>
        <v/>
      </c>
      <c r="DI125" s="15">
        <f>CE125+DB125+BU125</f>
        <v/>
      </c>
      <c r="DJ125" s="15">
        <f>IF((DH125+DI125+0.5*F125)&lt;=tax_tables!$B$14,0,IF((DH125+DI125+0.5*F125)&lt;=tax_tables!$B$15,MIN(0.5*F125,0.5*((DH125+DI125+0.5*F125)-tax_tables!$B$14)),MIN(0.85*F125,0.85*((DH125+DI125+0.5*F125)-tax_tables!$B$15)+MIN(0.5*F125,tax_tables!$B$15-tax_tables!$B$14))))</f>
        <v/>
      </c>
      <c r="DK125" s="15">
        <f>DH125+DI125+DJ125</f>
        <v/>
      </c>
      <c r="DL125" s="12">
        <f>(B125&gt;=65)+(C125&gt;=65)</f>
        <v/>
      </c>
      <c r="DM125" s="15">
        <f>(tax_tables!$B$5+tax_tables!$B$6*DL125)*P125</f>
        <v/>
      </c>
      <c r="DN125" s="15">
        <f>IF(AND(A125&gt;=tax_tables!$B$8,A125&lt;=tax_tables!$B$9),DL125*MAX(0,tax_tables!$B$7-tax_tables!$B$11*MAX(0,DK125-tax_tables!$B$10)),0)</f>
        <v/>
      </c>
      <c r="DO125" s="15">
        <f>IFERROR(MAX(tax_tables!$B$16,INDEX(tax_tables!$W$5:$W$8,MATCH(A125,tax_tables!$V$5:$V$8,0))-tax_tables!$B$18*MAX(0,DK125-tax_tables!$B$17*1.01^(A125-tax_tables!$B$4))),tax_tables!$B$16)</f>
        <v/>
      </c>
      <c r="DP125" s="15">
        <f>MAX(0,BM125-BB125-tax_tables!$B$23*DK125)</f>
        <v/>
      </c>
      <c r="DQ125" s="15">
        <f>AN125+MIN(DO125,DY124+DZ124+EA124+AL125*properties!$H$2*O125)+DP125+$B$61*O125</f>
        <v/>
      </c>
      <c r="DR125" s="15">
        <f>MAX(DM125,DQ125)</f>
        <v/>
      </c>
      <c r="DS125" s="15">
        <f>MAX(0,DH125+DJ125-DR125-DN125)</f>
        <v/>
      </c>
      <c r="DT125" s="15">
        <f>MAX(0,DI125-MAX(0,DR125+DN125-DH125-DJ125))</f>
        <v/>
      </c>
      <c r="DU125" s="15">
        <f>SUMPRODUCT((DS125&gt;tax_tables!$E$5:$E$16*P125)*(DS125-tax_tables!$E$5:$E$16*P125)*tax_tables!$G$5:$G$16)+SUMPRODUCT(((DS125+DT125)&gt;tax_tables!$I$5:$I$16*P125)*((DS125+DT125)-tax_tables!$I$5:$I$16*P125)*tax_tables!$K$5:$K$16)-SUMPRODUCT((DS125&gt;tax_tables!$I$5:$I$16*P125)*(DS125-tax_tables!$I$5:$I$16*P125)*tax_tables!$K$5:$K$16)+tax_tables!$B$19*BV125+tax_tables!$B$12*MIN(CE125+DB125+BS125+BU125,MAX(0,DK125-tax_tables!$B$13))</f>
        <v/>
      </c>
      <c r="DV125" s="12">
        <f>IF($B$39="",0,IF(A125&gt;=$B$39,1,0))</f>
        <v/>
      </c>
      <c r="DW125" s="15">
        <f>IF(B125+0.5&gt;=tax_tables!$B$30,MIN(CS125+CH125+CY125+CA125,tax_tables!$B$29),0)+IF(C125+0.5&gt;=tax_tables!$B$30,MIN(CT125+CI125+CZ125+CB125,tax_tables!$B$29),0)</f>
        <v/>
      </c>
      <c r="DX125" s="15">
        <f>MAX(0,DK125-tax_tables!$B$28*DJ125-DW125-tax_tables!$B$26*IF(tax_tables!$B$27=1,P125,1))</f>
        <v/>
      </c>
      <c r="DY125" s="15">
        <f>(1-DV125)*SUMPRODUCT((DX125&gt;tax_tables!$M$5:$M$16*IF(tax_tables!$B$27=1,P125,1))*(DX125-tax_tables!$M$5:$M$16*IF(tax_tables!$B$27=1,P125,1))*tax_tables!$O$5:$O$16)</f>
        <v/>
      </c>
      <c r="DZ125" s="15">
        <f>(1-DV125)*tax_tables!$B$31*DX125</f>
        <v/>
      </c>
      <c r="EA125" s="15">
        <f>DV125*$B$40*MAX(0,DK125-DJ125)</f>
        <v/>
      </c>
      <c r="EB125" s="15">
        <f>DU125+DY125+DZ125+EA125</f>
        <v/>
      </c>
      <c r="EC125" s="15">
        <f>DC125+DE125+DF125+DG125+BP125</f>
        <v/>
      </c>
      <c r="ED125" s="15">
        <f>EC125+BW125-AP125+BX125</f>
        <v/>
      </c>
    </row>
    <row r="126">
      <c r="A126" s="12">
        <f>A125+1</f>
        <v/>
      </c>
      <c r="B126" s="12">
        <f>A126-household!$B$6</f>
        <v/>
      </c>
      <c r="C126" s="12">
        <f>A126-household!$B$9</f>
        <v/>
      </c>
      <c r="D126" s="15">
        <f>AS126+AT126+AU126+AV126+AZ126+BM126+AK126</f>
        <v/>
      </c>
      <c r="E126" s="15">
        <f>CN126+AG126+AF126</f>
        <v/>
      </c>
      <c r="F126" s="15">
        <f>BY126+BZ126</f>
        <v/>
      </c>
      <c r="G126" s="15">
        <f>CQ126+CR126+CU126+CH126+CI126+CE126-CW126+CV126+BO126</f>
        <v/>
      </c>
      <c r="H126" s="22">
        <f>IF(CC126+CF126+CG126+CJ126+BN126&lt;=0,"",G126/(CC126+CF126+CG126+CJ126+BN126))</f>
        <v/>
      </c>
      <c r="I126" s="23">
        <f>EC126/O126</f>
        <v/>
      </c>
      <c r="J126" s="23">
        <f>ED126/O126</f>
        <v/>
      </c>
      <c r="K126" s="15">
        <f>MAX(0,CP126-CQ126-CR126-CU126-CV126)</f>
        <v/>
      </c>
      <c r="L126" s="11" t="n"/>
      <c r="M126" s="22">
        <f>IF(L126="",$B$19,L126)</f>
        <v/>
      </c>
      <c r="N126" s="14" t="n"/>
      <c r="O126" s="13">
        <f>(1+$B$18)^(A126-household!$B$4+1)</f>
        <v/>
      </c>
      <c r="P126" s="13">
        <f>(1+$B$18)^(A126-tax_tables!$B$4)</f>
        <v/>
      </c>
      <c r="Q126" s="13">
        <f>(1+$B$21)^(A126-household!$B$4+1)</f>
        <v/>
      </c>
      <c r="R126" s="13">
        <f>(1+$B$22)^(A126-household!$B$4+1)</f>
        <v/>
      </c>
      <c r="S126" s="13">
        <f>(1+$B$23)^(A126-household!$B$4+1)</f>
        <v/>
      </c>
      <c r="T126" s="12">
        <f>IF(A126&lt;$B$5,1,0)</f>
        <v/>
      </c>
      <c r="U126" s="12">
        <f>IF(A126&lt;$B$6,1,0)</f>
        <v/>
      </c>
      <c r="V126" s="12">
        <f>IF(T126+U126&gt;0,1,0)</f>
        <v/>
      </c>
      <c r="W126" s="15">
        <f>T126*$B$7*O126+SUMPRODUCT(($B$83:$B$88=A126)*($D$83:$D$88="Wages: person 1")*$C$83:$C$88)*O126</f>
        <v/>
      </c>
      <c r="X126" s="15">
        <f>U126*$B$8*O126+SUMPRODUCT(($B$83:$B$88=A126)*($D$83:$D$88="Wages: person 2")*$C$83:$C$88)*O126</f>
        <v/>
      </c>
      <c r="Y126" s="15">
        <f>T126*$B$9*O126</f>
        <v/>
      </c>
      <c r="Z126" s="15">
        <f>U126*$B$10*O126</f>
        <v/>
      </c>
      <c r="AA126" s="15">
        <f>T126*$B$11*O126</f>
        <v/>
      </c>
      <c r="AB126" s="15">
        <f>U126*$B$12*O126</f>
        <v/>
      </c>
      <c r="AC126" s="15">
        <f>V126*$B$13*O126</f>
        <v/>
      </c>
      <c r="AD126" s="15">
        <f>W126+X126</f>
        <v/>
      </c>
      <c r="AE126" s="15">
        <f>AD126-Y126-Z126-AC126</f>
        <v/>
      </c>
      <c r="AF126" s="15">
        <f>0.062*MIN(W126,tax_tables!$B$21*P126)+0.062*MIN(X126,tax_tables!$B$21*P126)+0.0145*AD126+0.009*MAX(0,AD126-tax_tables!$B$22)</f>
        <v/>
      </c>
      <c r="AG126" s="15">
        <f>$B$14*AE126</f>
        <v/>
      </c>
      <c r="AH126" s="15">
        <f>AD126-Y126-Z126-AC126-AF126-AG126</f>
        <v/>
      </c>
      <c r="AI126" s="15">
        <f>SUMPRODUCT(($B$83:$B$88=A126)*($D$83:$D$88="Other taxable income")*$C$83:$C$88)*O126</f>
        <v/>
      </c>
      <c r="AJ126" s="15">
        <f>SUMPRODUCT(($B$83:$B$88=A126)*($D$83:$D$88="Tax-free money in")*$C$83:$C$88)*O126</f>
        <v/>
      </c>
      <c r="AK126" s="15">
        <f>SUMPRODUCT(($B$83:$B$88=A126)*($D$83:$D$88="Expense")*$C$83:$C$88)*O126</f>
        <v/>
      </c>
      <c r="AL126" s="12">
        <f>IF(OR($B$75="",A126&lt;$B$75),1,0)</f>
        <v/>
      </c>
      <c r="AM126" s="15">
        <f>AP125</f>
        <v/>
      </c>
      <c r="AN126" s="15">
        <f>AL126*AM126*properties!$J$2</f>
        <v/>
      </c>
      <c r="AO126" s="15">
        <f>AL126*MIN(properties!$K$2,AM126+AN126)</f>
        <v/>
      </c>
      <c r="AP126" s="15">
        <f>AL126*(AM126+AN126-AO126)</f>
        <v/>
      </c>
      <c r="AQ126" s="15">
        <f>AL126*properties!$G$2*O126</f>
        <v/>
      </c>
      <c r="AR126" s="15">
        <f>(1-AL126)*$E$75*O126</f>
        <v/>
      </c>
      <c r="AS126" s="15">
        <f>AO126+AQ126+AR126</f>
        <v/>
      </c>
      <c r="AT126" s="15">
        <f>SUMIF(budget!$A$2:$A$300,"household",budget!$F$2:$F$300)*O126*IF(N126="",1,N126)</f>
        <v/>
      </c>
      <c r="AU126" s="15">
        <f>SUMPRODUCT((other_budget!$C$2:$C$30&lt;=A126)*(other_budget!$D$2:$D$30&gt;=A126)*other_budget!$B$2:$B$30)*O126</f>
        <v/>
      </c>
      <c r="AV126" s="15">
        <f>SUMPRODUCT((kids_budget!$D$2:$D$40&lt;=A126)*(kids_budget!$E$2:$E$40&gt;=A126)*(kids_budget!$G$2:$G$40&lt;&gt;"college_funds")*kids_budget!$C$2:$C$40*((kids_budget!$F$2:$F$40="college")*R126+(kids_budget!$F$2:$F$40&lt;&gt;"college")*O126))</f>
        <v/>
      </c>
      <c r="AW126" s="15">
        <f>SUMPRODUCT((kids_budget!$D$2:$D$40&lt;=A126)*(kids_budget!$E$2:$E$40&gt;=A126)*(kids_budget!$G$2:$G$40="college_funds")*kids_budget!$C$2:$C$40*((kids_budget!$F$2:$F$40="college")*R126+(kids_budget!$F$2:$F$40&lt;&gt;"college")*O126))</f>
        <v/>
      </c>
      <c r="AX126" s="15">
        <f>BA125</f>
        <v/>
      </c>
      <c r="AY126" s="15">
        <f>MIN(AW126,AX126*(1+M126))</f>
        <v/>
      </c>
      <c r="AZ126" s="15">
        <f>AW126-AY126</f>
        <v/>
      </c>
      <c r="BA126" s="15">
        <f>AX126*(1+M126)-AY126</f>
        <v/>
      </c>
      <c r="BB126" s="15">
        <f>V126*healthcare!$B$5*Q126</f>
        <v/>
      </c>
      <c r="BC126" s="12">
        <f>(1-V126)*((B126&lt;65)+(C126&lt;65))</f>
        <v/>
      </c>
      <c r="BD126" s="12">
        <f>COUNTIF(household!$C$16:$C$23,"&gt;="&amp;A126)</f>
        <v/>
      </c>
      <c r="BE126" s="15">
        <f>(BC126*healthcare!$B$2+IF(BC126&gt;0,BD126,0)*healthcare!$B$3)*12*Q126</f>
        <v/>
      </c>
      <c r="BF126" s="15">
        <f>IF(BC126&gt;0,(BC126+BD126)*healthcare!$B$4*Q126,0)</f>
        <v/>
      </c>
      <c r="BG126" s="12">
        <f>(B126&gt;=65)+(C126&gt;=65)</f>
        <v/>
      </c>
      <c r="BH126" s="15">
        <f>BG126*(healthcare!$B$6+healthcare!$B$7+healthcare!$B$8)*12*Q126</f>
        <v/>
      </c>
      <c r="BI126" s="15">
        <f>BG126*healthcare!$B$9*Q126</f>
        <v/>
      </c>
      <c r="BJ126" s="15">
        <f>BG126*12*O126*SUMPRODUCT((DK124&gt;tax_tables!$Q$5:$Q$9*P126)*tax_tables!$T$5:$T$9)</f>
        <v/>
      </c>
      <c r="BK126" s="12">
        <f>AND(B126&gt;=$B$51,B126&lt;$B$51+$B$52)*1+AND(C126&gt;=$B$53,C126&lt;$B$53+$B$54)*1</f>
        <v/>
      </c>
      <c r="BL126" s="15">
        <f>BK126*$B$55*S126</f>
        <v/>
      </c>
      <c r="BM126" s="15">
        <f>BB126+BE126+BF126+BH126+BI126+BJ126+BL126</f>
        <v/>
      </c>
      <c r="BN126" s="15">
        <f>BP125</f>
        <v/>
      </c>
      <c r="BO126" s="15">
        <f>IF(V126=1,0,MIN(BN126*(1+M126),BF126+BG126*(healthcare!$B$6+healthcare!$B$7)*12*Q126+BI126+BJ126+BL126))</f>
        <v/>
      </c>
      <c r="BP126" s="15">
        <f>BN126*(1+M126)-BO126+AC126-CV126</f>
        <v/>
      </c>
      <c r="BQ126" s="15">
        <f>SUMPRODUCT((1-($B$76:$B$79&gt;0)*(A126&gt;=$B$76:$B$79))*(1-(($C$76:$C$79&gt;0)*(A126&gt;=$C$76:$C$79)))*(properties!$L$3:$L$6-properties!$M$3:$M$6))*O126+SUMPRODUCT((1-($B$76:$B$79&gt;0)*(A126&gt;=$B$76:$B$79))*(($C$76:$C$79&gt;0)*(A126&gt;=$C$76:$C$79))*($D$76:$D$79-$E$76:$E$79))*O126</f>
        <v/>
      </c>
      <c r="BR126" s="15">
        <f>SUMPRODUCT((1-($B$76:$B$79&gt;0)*(A126&gt;=$B$76:$B$79))*properties!$N$3:$N$6*(A126&lt;=properties!$O$3:$O$6))</f>
        <v/>
      </c>
      <c r="BS126" s="15">
        <f>MAX(0,BQ126-BR126)</f>
        <v/>
      </c>
      <c r="BT126" s="15">
        <f>SUMPRODUCT(($B$75:$B$79=A126)*$G$75:$G$79)</f>
        <v/>
      </c>
      <c r="BU126" s="15">
        <f>SUMPRODUCT(($B$75:$B$79=A126)*$H$75:$H$79)</f>
        <v/>
      </c>
      <c r="BV126" s="15">
        <f>SUMPRODUCT(($B$75:$B$79=A126)*$I$75:$I$79)</f>
        <v/>
      </c>
      <c r="BW126" s="15">
        <f>AL126*properties!$C$2*(1+properties!$D$2)^(A126-household!$B$4+1)</f>
        <v/>
      </c>
      <c r="BX126" s="15">
        <f>SUMPRODUCT((1-($B$76:$B$79&gt;0)*(A126&gt;=$B$76:$B$79))*properties!$C$3:$C$6*(1+properties!$D$3:$D$6)^(A126-household!$B$4+1))</f>
        <v/>
      </c>
      <c r="BY126" s="15">
        <f>IF(A126&gt;=$B$31,IF(A126&gt;=$B$32,MAX(household!$B$11*12*(1-$B$28)*O126*IF(A126&gt;=$B$30,1-$B$29,1)*$B$33,0.5*household!$B$12*12*(1-$B$28)*O126*IF(A126&gt;=$B$30,1-$B$29,1)*$B$35),household!$B$11*12*(1-$B$28)*O126*IF(A126&gt;=$B$30,1-$B$29,1)*$B$33),0)</f>
        <v/>
      </c>
      <c r="BZ126" s="15">
        <f>IF(A126&gt;=$B$32,IF(A126&gt;=$B$31,MAX(household!$B$12*12*(1-$B$28)*O126*IF(A126&gt;=$B$30,1-$B$29,1)*$B$34,0.5*household!$B$11*12*(1-$B$28)*O126*IF(A126&gt;=$B$30,1-$B$29,1)*$B$36),household!$B$12*12*(1-$B$28)*O126*IF(A126&gt;=$B$30,1-$B$29,1)*$B$34),0)</f>
        <v/>
      </c>
      <c r="CA126" s="15">
        <f>IF(AND($B$43&lt;&gt;0,A126&gt;=household!$B$6+$B$44),$B$43*(1+$B$18)^(MAX(household!$B$6+$B$44,household!$B$4-1)-household!$B$4+1)*(1+$B$47*$B$18)^(A126-MAX(household!$B$6+$B$44,household!$B$4-1)),0)</f>
        <v/>
      </c>
      <c r="CB126" s="15">
        <f>IF(AND($B$45&lt;&gt;0,A126&gt;=household!$B$9+$B$46),$B$45*(1+$B$18)^(MAX(household!$B$9+$B$46,household!$B$4-1)-household!$B$4+1)*(1+$B$47*$B$18)^(A126-MAX(household!$B$9+$B$46,household!$B$4-1)),0)</f>
        <v/>
      </c>
      <c r="CC126" s="15">
        <f>DC125</f>
        <v/>
      </c>
      <c r="CD126" s="15">
        <f>DD125</f>
        <v/>
      </c>
      <c r="CE126" s="15">
        <f>$B$20*CC126</f>
        <v/>
      </c>
      <c r="CF126" s="15">
        <f>DE125</f>
        <v/>
      </c>
      <c r="CG126" s="15">
        <f>DF125</f>
        <v/>
      </c>
      <c r="CH126" s="15">
        <f>IF(B126&gt;=$B$71,MAX(0,CF126)/INDEX(tax_tables!$Z$5:$Z$53,MATCH(B126,tax_tables!$Y$5:$Y$53,0)),0)</f>
        <v/>
      </c>
      <c r="CI126" s="15">
        <f>IF(C126&gt;=$B$72,MAX(0,CG126)/INDEX(tax_tables!$Z$5:$Z$53,MATCH(C126,tax_tables!$Y$5:$Y$53,0)),0)</f>
        <v/>
      </c>
      <c r="CJ126" s="15">
        <f>DG125</f>
        <v/>
      </c>
      <c r="CK126" s="15">
        <f>IF(OR($B$59="",$B$60=""),0,IF(AND(A126&gt;=$B$59,A126&lt;=$B$60),$B$58*O126,0))</f>
        <v/>
      </c>
      <c r="CL126" s="15">
        <f>MAX(0,CF126*(1+M126)-CH126)</f>
        <v/>
      </c>
      <c r="CM126" s="15">
        <f>MAX(0,CG126*(1+M126)-CI126)</f>
        <v/>
      </c>
      <c r="CN126" s="15">
        <f>EB125-AG125</f>
        <v/>
      </c>
      <c r="CO126" s="15">
        <f>AH126+F126+CA126+CB126+BQ126+CE126+CH126+CI126+BT126+AI126+AJ126+BO126</f>
        <v/>
      </c>
      <c r="CP126" s="15">
        <f>D126+CN126-CO126</f>
        <v/>
      </c>
      <c r="CQ126" s="15">
        <f>MAX(0,MIN(CP126,CC126*(1+M126-$B$20)))</f>
        <v/>
      </c>
      <c r="CR126" s="15">
        <f>MAX(0,MIN(CP126-CQ126,CL126+CM126))</f>
        <v/>
      </c>
      <c r="CS126" s="15">
        <f>IF(CL126+CM126&gt;1,CR126*CL126/(CL126+CM126),0)</f>
        <v/>
      </c>
      <c r="CT126" s="15">
        <f>CR126-CS126</f>
        <v/>
      </c>
      <c r="CU126" s="15">
        <f>MAX(0,MIN(CP126-CQ126-CR126,CJ126*(1+M126)))</f>
        <v/>
      </c>
      <c r="CV126" s="15">
        <f>MAX(0,MIN(CP126-CQ126-CR126-CU126,BN126*(1+M126)-BO126+AC126))</f>
        <v/>
      </c>
      <c r="CW126" s="15">
        <f>MAX(0,-CP126)</f>
        <v/>
      </c>
      <c r="CX126" s="15">
        <f>MIN(CK126,CL126-CS126+CM126-CT126)</f>
        <v/>
      </c>
      <c r="CY126" s="15">
        <f>IF(CL126-CS126+CM126-CT126&gt;1,CX126*(CL126-CS126)/(CL126-CS126+CM126-CT126),0)</f>
        <v/>
      </c>
      <c r="CZ126" s="15">
        <f>CX126-CY126</f>
        <v/>
      </c>
      <c r="DA126" s="22">
        <f>IF(CC126&gt;0,MAX(0,1-CD126/CC126),0)</f>
        <v/>
      </c>
      <c r="DB126" s="15">
        <f>CQ126*DA126</f>
        <v/>
      </c>
      <c r="DC126" s="15">
        <f>CC126*(1+M126-$B$20)-CQ126+CW126</f>
        <v/>
      </c>
      <c r="DD126" s="15">
        <f>CD126-(CQ126-DB126)+CW126</f>
        <v/>
      </c>
      <c r="DE126" s="15">
        <f>CF126*(1+M126)-CH126-CS126-CY126+Y126+AA126</f>
        <v/>
      </c>
      <c r="DF126" s="15">
        <f>CG126*(1+M126)-CI126-CT126-CZ126+Z126+AB126</f>
        <v/>
      </c>
      <c r="DG126" s="15">
        <f>CJ126*(1+M126)-CU126+CX126</f>
        <v/>
      </c>
      <c r="DH126" s="15">
        <f>AE126+CR126+CH126+CI126+CX126+CV126+BS126+AI126+CA126+CB126</f>
        <v/>
      </c>
      <c r="DI126" s="15">
        <f>CE126+DB126+BU126</f>
        <v/>
      </c>
      <c r="DJ126" s="15">
        <f>IF((DH126+DI126+0.5*F126)&lt;=tax_tables!$B$14,0,IF((DH126+DI126+0.5*F126)&lt;=tax_tables!$B$15,MIN(0.5*F126,0.5*((DH126+DI126+0.5*F126)-tax_tables!$B$14)),MIN(0.85*F126,0.85*((DH126+DI126+0.5*F126)-tax_tables!$B$15)+MIN(0.5*F126,tax_tables!$B$15-tax_tables!$B$14))))</f>
        <v/>
      </c>
      <c r="DK126" s="15">
        <f>DH126+DI126+DJ126</f>
        <v/>
      </c>
      <c r="DL126" s="12">
        <f>(B126&gt;=65)+(C126&gt;=65)</f>
        <v/>
      </c>
      <c r="DM126" s="15">
        <f>(tax_tables!$B$5+tax_tables!$B$6*DL126)*P126</f>
        <v/>
      </c>
      <c r="DN126" s="15">
        <f>IF(AND(A126&gt;=tax_tables!$B$8,A126&lt;=tax_tables!$B$9),DL126*MAX(0,tax_tables!$B$7-tax_tables!$B$11*MAX(0,DK126-tax_tables!$B$10)),0)</f>
        <v/>
      </c>
      <c r="DO126" s="15">
        <f>IFERROR(MAX(tax_tables!$B$16,INDEX(tax_tables!$W$5:$W$8,MATCH(A126,tax_tables!$V$5:$V$8,0))-tax_tables!$B$18*MAX(0,DK126-tax_tables!$B$17*1.01^(A126-tax_tables!$B$4))),tax_tables!$B$16)</f>
        <v/>
      </c>
      <c r="DP126" s="15">
        <f>MAX(0,BM126-BB126-tax_tables!$B$23*DK126)</f>
        <v/>
      </c>
      <c r="DQ126" s="15">
        <f>AN126+MIN(DO126,DY125+DZ125+EA125+AL126*properties!$H$2*O126)+DP126+$B$61*O126</f>
        <v/>
      </c>
      <c r="DR126" s="15">
        <f>MAX(DM126,DQ126)</f>
        <v/>
      </c>
      <c r="DS126" s="15">
        <f>MAX(0,DH126+DJ126-DR126-DN126)</f>
        <v/>
      </c>
      <c r="DT126" s="15">
        <f>MAX(0,DI126-MAX(0,DR126+DN126-DH126-DJ126))</f>
        <v/>
      </c>
      <c r="DU126" s="15">
        <f>SUMPRODUCT((DS126&gt;tax_tables!$E$5:$E$16*P126)*(DS126-tax_tables!$E$5:$E$16*P126)*tax_tables!$G$5:$G$16)+SUMPRODUCT(((DS126+DT126)&gt;tax_tables!$I$5:$I$16*P126)*((DS126+DT126)-tax_tables!$I$5:$I$16*P126)*tax_tables!$K$5:$K$16)-SUMPRODUCT((DS126&gt;tax_tables!$I$5:$I$16*P126)*(DS126-tax_tables!$I$5:$I$16*P126)*tax_tables!$K$5:$K$16)+tax_tables!$B$19*BV126+tax_tables!$B$12*MIN(CE126+DB126+BS126+BU126,MAX(0,DK126-tax_tables!$B$13))</f>
        <v/>
      </c>
      <c r="DV126" s="12">
        <f>IF($B$39="",0,IF(A126&gt;=$B$39,1,0))</f>
        <v/>
      </c>
      <c r="DW126" s="15">
        <f>IF(B126+0.5&gt;=tax_tables!$B$30,MIN(CS126+CH126+CY126+CA126,tax_tables!$B$29),0)+IF(C126+0.5&gt;=tax_tables!$B$30,MIN(CT126+CI126+CZ126+CB126,tax_tables!$B$29),0)</f>
        <v/>
      </c>
      <c r="DX126" s="15">
        <f>MAX(0,DK126-tax_tables!$B$28*DJ126-DW126-tax_tables!$B$26*IF(tax_tables!$B$27=1,P126,1))</f>
        <v/>
      </c>
      <c r="DY126" s="15">
        <f>(1-DV126)*SUMPRODUCT((DX126&gt;tax_tables!$M$5:$M$16*IF(tax_tables!$B$27=1,P126,1))*(DX126-tax_tables!$M$5:$M$16*IF(tax_tables!$B$27=1,P126,1))*tax_tables!$O$5:$O$16)</f>
        <v/>
      </c>
      <c r="DZ126" s="15">
        <f>(1-DV126)*tax_tables!$B$31*DX126</f>
        <v/>
      </c>
      <c r="EA126" s="15">
        <f>DV126*$B$40*MAX(0,DK126-DJ126)</f>
        <v/>
      </c>
      <c r="EB126" s="15">
        <f>DU126+DY126+DZ126+EA126</f>
        <v/>
      </c>
      <c r="EC126" s="15">
        <f>DC126+DE126+DF126+DG126+BP126</f>
        <v/>
      </c>
      <c r="ED126" s="15">
        <f>EC126+BW126-AP126+BX126</f>
        <v/>
      </c>
    </row>
    <row r="127">
      <c r="A127" s="12">
        <f>A126+1</f>
        <v/>
      </c>
      <c r="B127" s="12">
        <f>A127-household!$B$6</f>
        <v/>
      </c>
      <c r="C127" s="12">
        <f>A127-household!$B$9</f>
        <v/>
      </c>
      <c r="D127" s="15">
        <f>AS127+AT127+AU127+AV127+AZ127+BM127+AK127</f>
        <v/>
      </c>
      <c r="E127" s="15">
        <f>CN127+AG127+AF127</f>
        <v/>
      </c>
      <c r="F127" s="15">
        <f>BY127+BZ127</f>
        <v/>
      </c>
      <c r="G127" s="15">
        <f>CQ127+CR127+CU127+CH127+CI127+CE127-CW127+CV127+BO127</f>
        <v/>
      </c>
      <c r="H127" s="22">
        <f>IF(CC127+CF127+CG127+CJ127+BN127&lt;=0,"",G127/(CC127+CF127+CG127+CJ127+BN127))</f>
        <v/>
      </c>
      <c r="I127" s="23">
        <f>EC127/O127</f>
        <v/>
      </c>
      <c r="J127" s="23">
        <f>ED127/O127</f>
        <v/>
      </c>
      <c r="K127" s="15">
        <f>MAX(0,CP127-CQ127-CR127-CU127-CV127)</f>
        <v/>
      </c>
      <c r="L127" s="11" t="n"/>
      <c r="M127" s="22">
        <f>IF(L127="",$B$19,L127)</f>
        <v/>
      </c>
      <c r="N127" s="14" t="n"/>
      <c r="O127" s="13">
        <f>(1+$B$18)^(A127-household!$B$4+1)</f>
        <v/>
      </c>
      <c r="P127" s="13">
        <f>(1+$B$18)^(A127-tax_tables!$B$4)</f>
        <v/>
      </c>
      <c r="Q127" s="13">
        <f>(1+$B$21)^(A127-household!$B$4+1)</f>
        <v/>
      </c>
      <c r="R127" s="13">
        <f>(1+$B$22)^(A127-household!$B$4+1)</f>
        <v/>
      </c>
      <c r="S127" s="13">
        <f>(1+$B$23)^(A127-household!$B$4+1)</f>
        <v/>
      </c>
      <c r="T127" s="12">
        <f>IF(A127&lt;$B$5,1,0)</f>
        <v/>
      </c>
      <c r="U127" s="12">
        <f>IF(A127&lt;$B$6,1,0)</f>
        <v/>
      </c>
      <c r="V127" s="12">
        <f>IF(T127+U127&gt;0,1,0)</f>
        <v/>
      </c>
      <c r="W127" s="15">
        <f>T127*$B$7*O127+SUMPRODUCT(($B$83:$B$88=A127)*($D$83:$D$88="Wages: person 1")*$C$83:$C$88)*O127</f>
        <v/>
      </c>
      <c r="X127" s="15">
        <f>U127*$B$8*O127+SUMPRODUCT(($B$83:$B$88=A127)*($D$83:$D$88="Wages: person 2")*$C$83:$C$88)*O127</f>
        <v/>
      </c>
      <c r="Y127" s="15">
        <f>T127*$B$9*O127</f>
        <v/>
      </c>
      <c r="Z127" s="15">
        <f>U127*$B$10*O127</f>
        <v/>
      </c>
      <c r="AA127" s="15">
        <f>T127*$B$11*O127</f>
        <v/>
      </c>
      <c r="AB127" s="15">
        <f>U127*$B$12*O127</f>
        <v/>
      </c>
      <c r="AC127" s="15">
        <f>V127*$B$13*O127</f>
        <v/>
      </c>
      <c r="AD127" s="15">
        <f>W127+X127</f>
        <v/>
      </c>
      <c r="AE127" s="15">
        <f>AD127-Y127-Z127-AC127</f>
        <v/>
      </c>
      <c r="AF127" s="15">
        <f>0.062*MIN(W127,tax_tables!$B$21*P127)+0.062*MIN(X127,tax_tables!$B$21*P127)+0.0145*AD127+0.009*MAX(0,AD127-tax_tables!$B$22)</f>
        <v/>
      </c>
      <c r="AG127" s="15">
        <f>$B$14*AE127</f>
        <v/>
      </c>
      <c r="AH127" s="15">
        <f>AD127-Y127-Z127-AC127-AF127-AG127</f>
        <v/>
      </c>
      <c r="AI127" s="15">
        <f>SUMPRODUCT(($B$83:$B$88=A127)*($D$83:$D$88="Other taxable income")*$C$83:$C$88)*O127</f>
        <v/>
      </c>
      <c r="AJ127" s="15">
        <f>SUMPRODUCT(($B$83:$B$88=A127)*($D$83:$D$88="Tax-free money in")*$C$83:$C$88)*O127</f>
        <v/>
      </c>
      <c r="AK127" s="15">
        <f>SUMPRODUCT(($B$83:$B$88=A127)*($D$83:$D$88="Expense")*$C$83:$C$88)*O127</f>
        <v/>
      </c>
      <c r="AL127" s="12">
        <f>IF(OR($B$75="",A127&lt;$B$75),1,0)</f>
        <v/>
      </c>
      <c r="AM127" s="15">
        <f>AP126</f>
        <v/>
      </c>
      <c r="AN127" s="15">
        <f>AL127*AM127*properties!$J$2</f>
        <v/>
      </c>
      <c r="AO127" s="15">
        <f>AL127*MIN(properties!$K$2,AM127+AN127)</f>
        <v/>
      </c>
      <c r="AP127" s="15">
        <f>AL127*(AM127+AN127-AO127)</f>
        <v/>
      </c>
      <c r="AQ127" s="15">
        <f>AL127*properties!$G$2*O127</f>
        <v/>
      </c>
      <c r="AR127" s="15">
        <f>(1-AL127)*$E$75*O127</f>
        <v/>
      </c>
      <c r="AS127" s="15">
        <f>AO127+AQ127+AR127</f>
        <v/>
      </c>
      <c r="AT127" s="15">
        <f>SUMIF(budget!$A$2:$A$300,"household",budget!$F$2:$F$300)*O127*IF(N127="",1,N127)</f>
        <v/>
      </c>
      <c r="AU127" s="15">
        <f>SUMPRODUCT((other_budget!$C$2:$C$30&lt;=A127)*(other_budget!$D$2:$D$30&gt;=A127)*other_budget!$B$2:$B$30)*O127</f>
        <v/>
      </c>
      <c r="AV127" s="15">
        <f>SUMPRODUCT((kids_budget!$D$2:$D$40&lt;=A127)*(kids_budget!$E$2:$E$40&gt;=A127)*(kids_budget!$G$2:$G$40&lt;&gt;"college_funds")*kids_budget!$C$2:$C$40*((kids_budget!$F$2:$F$40="college")*R127+(kids_budget!$F$2:$F$40&lt;&gt;"college")*O127))</f>
        <v/>
      </c>
      <c r="AW127" s="15">
        <f>SUMPRODUCT((kids_budget!$D$2:$D$40&lt;=A127)*(kids_budget!$E$2:$E$40&gt;=A127)*(kids_budget!$G$2:$G$40="college_funds")*kids_budget!$C$2:$C$40*((kids_budget!$F$2:$F$40="college")*R127+(kids_budget!$F$2:$F$40&lt;&gt;"college")*O127))</f>
        <v/>
      </c>
      <c r="AX127" s="15">
        <f>BA126</f>
        <v/>
      </c>
      <c r="AY127" s="15">
        <f>MIN(AW127,AX127*(1+M127))</f>
        <v/>
      </c>
      <c r="AZ127" s="15">
        <f>AW127-AY127</f>
        <v/>
      </c>
      <c r="BA127" s="15">
        <f>AX127*(1+M127)-AY127</f>
        <v/>
      </c>
      <c r="BB127" s="15">
        <f>V127*healthcare!$B$5*Q127</f>
        <v/>
      </c>
      <c r="BC127" s="12">
        <f>(1-V127)*((B127&lt;65)+(C127&lt;65))</f>
        <v/>
      </c>
      <c r="BD127" s="12">
        <f>COUNTIF(household!$C$16:$C$23,"&gt;="&amp;A127)</f>
        <v/>
      </c>
      <c r="BE127" s="15">
        <f>(BC127*healthcare!$B$2+IF(BC127&gt;0,BD127,0)*healthcare!$B$3)*12*Q127</f>
        <v/>
      </c>
      <c r="BF127" s="15">
        <f>IF(BC127&gt;0,(BC127+BD127)*healthcare!$B$4*Q127,0)</f>
        <v/>
      </c>
      <c r="BG127" s="12">
        <f>(B127&gt;=65)+(C127&gt;=65)</f>
        <v/>
      </c>
      <c r="BH127" s="15">
        <f>BG127*(healthcare!$B$6+healthcare!$B$7+healthcare!$B$8)*12*Q127</f>
        <v/>
      </c>
      <c r="BI127" s="15">
        <f>BG127*healthcare!$B$9*Q127</f>
        <v/>
      </c>
      <c r="BJ127" s="15">
        <f>BG127*12*O127*SUMPRODUCT((DK125&gt;tax_tables!$Q$5:$Q$9*P127)*tax_tables!$T$5:$T$9)</f>
        <v/>
      </c>
      <c r="BK127" s="12">
        <f>AND(B127&gt;=$B$51,B127&lt;$B$51+$B$52)*1+AND(C127&gt;=$B$53,C127&lt;$B$53+$B$54)*1</f>
        <v/>
      </c>
      <c r="BL127" s="15">
        <f>BK127*$B$55*S127</f>
        <v/>
      </c>
      <c r="BM127" s="15">
        <f>BB127+BE127+BF127+BH127+BI127+BJ127+BL127</f>
        <v/>
      </c>
      <c r="BN127" s="15">
        <f>BP126</f>
        <v/>
      </c>
      <c r="BO127" s="15">
        <f>IF(V127=1,0,MIN(BN127*(1+M127),BF127+BG127*(healthcare!$B$6+healthcare!$B$7)*12*Q127+BI127+BJ127+BL127))</f>
        <v/>
      </c>
      <c r="BP127" s="15">
        <f>BN127*(1+M127)-BO127+AC127-CV127</f>
        <v/>
      </c>
      <c r="BQ127" s="15">
        <f>SUMPRODUCT((1-($B$76:$B$79&gt;0)*(A127&gt;=$B$76:$B$79))*(1-(($C$76:$C$79&gt;0)*(A127&gt;=$C$76:$C$79)))*(properties!$L$3:$L$6-properties!$M$3:$M$6))*O127+SUMPRODUCT((1-($B$76:$B$79&gt;0)*(A127&gt;=$B$76:$B$79))*(($C$76:$C$79&gt;0)*(A127&gt;=$C$76:$C$79))*($D$76:$D$79-$E$76:$E$79))*O127</f>
        <v/>
      </c>
      <c r="BR127" s="15">
        <f>SUMPRODUCT((1-($B$76:$B$79&gt;0)*(A127&gt;=$B$76:$B$79))*properties!$N$3:$N$6*(A127&lt;=properties!$O$3:$O$6))</f>
        <v/>
      </c>
      <c r="BS127" s="15">
        <f>MAX(0,BQ127-BR127)</f>
        <v/>
      </c>
      <c r="BT127" s="15">
        <f>SUMPRODUCT(($B$75:$B$79=A127)*$G$75:$G$79)</f>
        <v/>
      </c>
      <c r="BU127" s="15">
        <f>SUMPRODUCT(($B$75:$B$79=A127)*$H$75:$H$79)</f>
        <v/>
      </c>
      <c r="BV127" s="15">
        <f>SUMPRODUCT(($B$75:$B$79=A127)*$I$75:$I$79)</f>
        <v/>
      </c>
      <c r="BW127" s="15">
        <f>AL127*properties!$C$2*(1+properties!$D$2)^(A127-household!$B$4+1)</f>
        <v/>
      </c>
      <c r="BX127" s="15">
        <f>SUMPRODUCT((1-($B$76:$B$79&gt;0)*(A127&gt;=$B$76:$B$79))*properties!$C$3:$C$6*(1+properties!$D$3:$D$6)^(A127-household!$B$4+1))</f>
        <v/>
      </c>
      <c r="BY127" s="15">
        <f>IF(A127&gt;=$B$31,IF(A127&gt;=$B$32,MAX(household!$B$11*12*(1-$B$28)*O127*IF(A127&gt;=$B$30,1-$B$29,1)*$B$33,0.5*household!$B$12*12*(1-$B$28)*O127*IF(A127&gt;=$B$30,1-$B$29,1)*$B$35),household!$B$11*12*(1-$B$28)*O127*IF(A127&gt;=$B$30,1-$B$29,1)*$B$33),0)</f>
        <v/>
      </c>
      <c r="BZ127" s="15">
        <f>IF(A127&gt;=$B$32,IF(A127&gt;=$B$31,MAX(household!$B$12*12*(1-$B$28)*O127*IF(A127&gt;=$B$30,1-$B$29,1)*$B$34,0.5*household!$B$11*12*(1-$B$28)*O127*IF(A127&gt;=$B$30,1-$B$29,1)*$B$36),household!$B$12*12*(1-$B$28)*O127*IF(A127&gt;=$B$30,1-$B$29,1)*$B$34),0)</f>
        <v/>
      </c>
      <c r="CA127" s="15">
        <f>IF(AND($B$43&lt;&gt;0,A127&gt;=household!$B$6+$B$44),$B$43*(1+$B$18)^(MAX(household!$B$6+$B$44,household!$B$4-1)-household!$B$4+1)*(1+$B$47*$B$18)^(A127-MAX(household!$B$6+$B$44,household!$B$4-1)),0)</f>
        <v/>
      </c>
      <c r="CB127" s="15">
        <f>IF(AND($B$45&lt;&gt;0,A127&gt;=household!$B$9+$B$46),$B$45*(1+$B$18)^(MAX(household!$B$9+$B$46,household!$B$4-1)-household!$B$4+1)*(1+$B$47*$B$18)^(A127-MAX(household!$B$9+$B$46,household!$B$4-1)),0)</f>
        <v/>
      </c>
      <c r="CC127" s="15">
        <f>DC126</f>
        <v/>
      </c>
      <c r="CD127" s="15">
        <f>DD126</f>
        <v/>
      </c>
      <c r="CE127" s="15">
        <f>$B$20*CC127</f>
        <v/>
      </c>
      <c r="CF127" s="15">
        <f>DE126</f>
        <v/>
      </c>
      <c r="CG127" s="15">
        <f>DF126</f>
        <v/>
      </c>
      <c r="CH127" s="15">
        <f>IF(B127&gt;=$B$71,MAX(0,CF127)/INDEX(tax_tables!$Z$5:$Z$53,MATCH(B127,tax_tables!$Y$5:$Y$53,0)),0)</f>
        <v/>
      </c>
      <c r="CI127" s="15">
        <f>IF(C127&gt;=$B$72,MAX(0,CG127)/INDEX(tax_tables!$Z$5:$Z$53,MATCH(C127,tax_tables!$Y$5:$Y$53,0)),0)</f>
        <v/>
      </c>
      <c r="CJ127" s="15">
        <f>DG126</f>
        <v/>
      </c>
      <c r="CK127" s="15">
        <f>IF(OR($B$59="",$B$60=""),0,IF(AND(A127&gt;=$B$59,A127&lt;=$B$60),$B$58*O127,0))</f>
        <v/>
      </c>
      <c r="CL127" s="15">
        <f>MAX(0,CF127*(1+M127)-CH127)</f>
        <v/>
      </c>
      <c r="CM127" s="15">
        <f>MAX(0,CG127*(1+M127)-CI127)</f>
        <v/>
      </c>
      <c r="CN127" s="15">
        <f>EB126-AG126</f>
        <v/>
      </c>
      <c r="CO127" s="15">
        <f>AH127+F127+CA127+CB127+BQ127+CE127+CH127+CI127+BT127+AI127+AJ127+BO127</f>
        <v/>
      </c>
      <c r="CP127" s="15">
        <f>D127+CN127-CO127</f>
        <v/>
      </c>
      <c r="CQ127" s="15">
        <f>MAX(0,MIN(CP127,CC127*(1+M127-$B$20)))</f>
        <v/>
      </c>
      <c r="CR127" s="15">
        <f>MAX(0,MIN(CP127-CQ127,CL127+CM127))</f>
        <v/>
      </c>
      <c r="CS127" s="15">
        <f>IF(CL127+CM127&gt;1,CR127*CL127/(CL127+CM127),0)</f>
        <v/>
      </c>
      <c r="CT127" s="15">
        <f>CR127-CS127</f>
        <v/>
      </c>
      <c r="CU127" s="15">
        <f>MAX(0,MIN(CP127-CQ127-CR127,CJ127*(1+M127)))</f>
        <v/>
      </c>
      <c r="CV127" s="15">
        <f>MAX(0,MIN(CP127-CQ127-CR127-CU127,BN127*(1+M127)-BO127+AC127))</f>
        <v/>
      </c>
      <c r="CW127" s="15">
        <f>MAX(0,-CP127)</f>
        <v/>
      </c>
      <c r="CX127" s="15">
        <f>MIN(CK127,CL127-CS127+CM127-CT127)</f>
        <v/>
      </c>
      <c r="CY127" s="15">
        <f>IF(CL127-CS127+CM127-CT127&gt;1,CX127*(CL127-CS127)/(CL127-CS127+CM127-CT127),0)</f>
        <v/>
      </c>
      <c r="CZ127" s="15">
        <f>CX127-CY127</f>
        <v/>
      </c>
      <c r="DA127" s="22">
        <f>IF(CC127&gt;0,MAX(0,1-CD127/CC127),0)</f>
        <v/>
      </c>
      <c r="DB127" s="15">
        <f>CQ127*DA127</f>
        <v/>
      </c>
      <c r="DC127" s="15">
        <f>CC127*(1+M127-$B$20)-CQ127+CW127</f>
        <v/>
      </c>
      <c r="DD127" s="15">
        <f>CD127-(CQ127-DB127)+CW127</f>
        <v/>
      </c>
      <c r="DE127" s="15">
        <f>CF127*(1+M127)-CH127-CS127-CY127+Y127+AA127</f>
        <v/>
      </c>
      <c r="DF127" s="15">
        <f>CG127*(1+M127)-CI127-CT127-CZ127+Z127+AB127</f>
        <v/>
      </c>
      <c r="DG127" s="15">
        <f>CJ127*(1+M127)-CU127+CX127</f>
        <v/>
      </c>
      <c r="DH127" s="15">
        <f>AE127+CR127+CH127+CI127+CX127+CV127+BS127+AI127+CA127+CB127</f>
        <v/>
      </c>
      <c r="DI127" s="15">
        <f>CE127+DB127+BU127</f>
        <v/>
      </c>
      <c r="DJ127" s="15">
        <f>IF((DH127+DI127+0.5*F127)&lt;=tax_tables!$B$14,0,IF((DH127+DI127+0.5*F127)&lt;=tax_tables!$B$15,MIN(0.5*F127,0.5*((DH127+DI127+0.5*F127)-tax_tables!$B$14)),MIN(0.85*F127,0.85*((DH127+DI127+0.5*F127)-tax_tables!$B$15)+MIN(0.5*F127,tax_tables!$B$15-tax_tables!$B$14))))</f>
        <v/>
      </c>
      <c r="DK127" s="15">
        <f>DH127+DI127+DJ127</f>
        <v/>
      </c>
      <c r="DL127" s="12">
        <f>(B127&gt;=65)+(C127&gt;=65)</f>
        <v/>
      </c>
      <c r="DM127" s="15">
        <f>(tax_tables!$B$5+tax_tables!$B$6*DL127)*P127</f>
        <v/>
      </c>
      <c r="DN127" s="15">
        <f>IF(AND(A127&gt;=tax_tables!$B$8,A127&lt;=tax_tables!$B$9),DL127*MAX(0,tax_tables!$B$7-tax_tables!$B$11*MAX(0,DK127-tax_tables!$B$10)),0)</f>
        <v/>
      </c>
      <c r="DO127" s="15">
        <f>IFERROR(MAX(tax_tables!$B$16,INDEX(tax_tables!$W$5:$W$8,MATCH(A127,tax_tables!$V$5:$V$8,0))-tax_tables!$B$18*MAX(0,DK127-tax_tables!$B$17*1.01^(A127-tax_tables!$B$4))),tax_tables!$B$16)</f>
        <v/>
      </c>
      <c r="DP127" s="15">
        <f>MAX(0,BM127-BB127-tax_tables!$B$23*DK127)</f>
        <v/>
      </c>
      <c r="DQ127" s="15">
        <f>AN127+MIN(DO127,DY126+DZ126+EA126+AL127*properties!$H$2*O127)+DP127+$B$61*O127</f>
        <v/>
      </c>
      <c r="DR127" s="15">
        <f>MAX(DM127,DQ127)</f>
        <v/>
      </c>
      <c r="DS127" s="15">
        <f>MAX(0,DH127+DJ127-DR127-DN127)</f>
        <v/>
      </c>
      <c r="DT127" s="15">
        <f>MAX(0,DI127-MAX(0,DR127+DN127-DH127-DJ127))</f>
        <v/>
      </c>
      <c r="DU127" s="15">
        <f>SUMPRODUCT((DS127&gt;tax_tables!$E$5:$E$16*P127)*(DS127-tax_tables!$E$5:$E$16*P127)*tax_tables!$G$5:$G$16)+SUMPRODUCT(((DS127+DT127)&gt;tax_tables!$I$5:$I$16*P127)*((DS127+DT127)-tax_tables!$I$5:$I$16*P127)*tax_tables!$K$5:$K$16)-SUMPRODUCT((DS127&gt;tax_tables!$I$5:$I$16*P127)*(DS127-tax_tables!$I$5:$I$16*P127)*tax_tables!$K$5:$K$16)+tax_tables!$B$19*BV127+tax_tables!$B$12*MIN(CE127+DB127+BS127+BU127,MAX(0,DK127-tax_tables!$B$13))</f>
        <v/>
      </c>
      <c r="DV127" s="12">
        <f>IF($B$39="",0,IF(A127&gt;=$B$39,1,0))</f>
        <v/>
      </c>
      <c r="DW127" s="15">
        <f>IF(B127+0.5&gt;=tax_tables!$B$30,MIN(CS127+CH127+CY127+CA127,tax_tables!$B$29),0)+IF(C127+0.5&gt;=tax_tables!$B$30,MIN(CT127+CI127+CZ127+CB127,tax_tables!$B$29),0)</f>
        <v/>
      </c>
      <c r="DX127" s="15">
        <f>MAX(0,DK127-tax_tables!$B$28*DJ127-DW127-tax_tables!$B$26*IF(tax_tables!$B$27=1,P127,1))</f>
        <v/>
      </c>
      <c r="DY127" s="15">
        <f>(1-DV127)*SUMPRODUCT((DX127&gt;tax_tables!$M$5:$M$16*IF(tax_tables!$B$27=1,P127,1))*(DX127-tax_tables!$M$5:$M$16*IF(tax_tables!$B$27=1,P127,1))*tax_tables!$O$5:$O$16)</f>
        <v/>
      </c>
      <c r="DZ127" s="15">
        <f>(1-DV127)*tax_tables!$B$31*DX127</f>
        <v/>
      </c>
      <c r="EA127" s="15">
        <f>DV127*$B$40*MAX(0,DK127-DJ127)</f>
        <v/>
      </c>
      <c r="EB127" s="15">
        <f>DU127+DY127+DZ127+EA127</f>
        <v/>
      </c>
      <c r="EC127" s="15">
        <f>DC127+DE127+DF127+DG127+BP127</f>
        <v/>
      </c>
      <c r="ED127" s="15">
        <f>EC127+BW127-AP127+BX127</f>
        <v/>
      </c>
    </row>
    <row r="128">
      <c r="A128" s="12">
        <f>A127+1</f>
        <v/>
      </c>
      <c r="B128" s="12">
        <f>A128-household!$B$6</f>
        <v/>
      </c>
      <c r="C128" s="12">
        <f>A128-household!$B$9</f>
        <v/>
      </c>
      <c r="D128" s="15">
        <f>AS128+AT128+AU128+AV128+AZ128+BM128+AK128</f>
        <v/>
      </c>
      <c r="E128" s="15">
        <f>CN128+AG128+AF128</f>
        <v/>
      </c>
      <c r="F128" s="15">
        <f>BY128+BZ128</f>
        <v/>
      </c>
      <c r="G128" s="15">
        <f>CQ128+CR128+CU128+CH128+CI128+CE128-CW128+CV128+BO128</f>
        <v/>
      </c>
      <c r="H128" s="22">
        <f>IF(CC128+CF128+CG128+CJ128+BN128&lt;=0,"",G128/(CC128+CF128+CG128+CJ128+BN128))</f>
        <v/>
      </c>
      <c r="I128" s="23">
        <f>EC128/O128</f>
        <v/>
      </c>
      <c r="J128" s="23">
        <f>ED128/O128</f>
        <v/>
      </c>
      <c r="K128" s="15">
        <f>MAX(0,CP128-CQ128-CR128-CU128-CV128)</f>
        <v/>
      </c>
      <c r="L128" s="11" t="n"/>
      <c r="M128" s="22">
        <f>IF(L128="",$B$19,L128)</f>
        <v/>
      </c>
      <c r="N128" s="14" t="n"/>
      <c r="O128" s="13">
        <f>(1+$B$18)^(A128-household!$B$4+1)</f>
        <v/>
      </c>
      <c r="P128" s="13">
        <f>(1+$B$18)^(A128-tax_tables!$B$4)</f>
        <v/>
      </c>
      <c r="Q128" s="13">
        <f>(1+$B$21)^(A128-household!$B$4+1)</f>
        <v/>
      </c>
      <c r="R128" s="13">
        <f>(1+$B$22)^(A128-household!$B$4+1)</f>
        <v/>
      </c>
      <c r="S128" s="13">
        <f>(1+$B$23)^(A128-household!$B$4+1)</f>
        <v/>
      </c>
      <c r="T128" s="12">
        <f>IF(A128&lt;$B$5,1,0)</f>
        <v/>
      </c>
      <c r="U128" s="12">
        <f>IF(A128&lt;$B$6,1,0)</f>
        <v/>
      </c>
      <c r="V128" s="12">
        <f>IF(T128+U128&gt;0,1,0)</f>
        <v/>
      </c>
      <c r="W128" s="15">
        <f>T128*$B$7*O128+SUMPRODUCT(($B$83:$B$88=A128)*($D$83:$D$88="Wages: person 1")*$C$83:$C$88)*O128</f>
        <v/>
      </c>
      <c r="X128" s="15">
        <f>U128*$B$8*O128+SUMPRODUCT(($B$83:$B$88=A128)*($D$83:$D$88="Wages: person 2")*$C$83:$C$88)*O128</f>
        <v/>
      </c>
      <c r="Y128" s="15">
        <f>T128*$B$9*O128</f>
        <v/>
      </c>
      <c r="Z128" s="15">
        <f>U128*$B$10*O128</f>
        <v/>
      </c>
      <c r="AA128" s="15">
        <f>T128*$B$11*O128</f>
        <v/>
      </c>
      <c r="AB128" s="15">
        <f>U128*$B$12*O128</f>
        <v/>
      </c>
      <c r="AC128" s="15">
        <f>V128*$B$13*O128</f>
        <v/>
      </c>
      <c r="AD128" s="15">
        <f>W128+X128</f>
        <v/>
      </c>
      <c r="AE128" s="15">
        <f>AD128-Y128-Z128-AC128</f>
        <v/>
      </c>
      <c r="AF128" s="15">
        <f>0.062*MIN(W128,tax_tables!$B$21*P128)+0.062*MIN(X128,tax_tables!$B$21*P128)+0.0145*AD128+0.009*MAX(0,AD128-tax_tables!$B$22)</f>
        <v/>
      </c>
      <c r="AG128" s="15">
        <f>$B$14*AE128</f>
        <v/>
      </c>
      <c r="AH128" s="15">
        <f>AD128-Y128-Z128-AC128-AF128-AG128</f>
        <v/>
      </c>
      <c r="AI128" s="15">
        <f>SUMPRODUCT(($B$83:$B$88=A128)*($D$83:$D$88="Other taxable income")*$C$83:$C$88)*O128</f>
        <v/>
      </c>
      <c r="AJ128" s="15">
        <f>SUMPRODUCT(($B$83:$B$88=A128)*($D$83:$D$88="Tax-free money in")*$C$83:$C$88)*O128</f>
        <v/>
      </c>
      <c r="AK128" s="15">
        <f>SUMPRODUCT(($B$83:$B$88=A128)*($D$83:$D$88="Expense")*$C$83:$C$88)*O128</f>
        <v/>
      </c>
      <c r="AL128" s="12">
        <f>IF(OR($B$75="",A128&lt;$B$75),1,0)</f>
        <v/>
      </c>
      <c r="AM128" s="15">
        <f>AP127</f>
        <v/>
      </c>
      <c r="AN128" s="15">
        <f>AL128*AM128*properties!$J$2</f>
        <v/>
      </c>
      <c r="AO128" s="15">
        <f>AL128*MIN(properties!$K$2,AM128+AN128)</f>
        <v/>
      </c>
      <c r="AP128" s="15">
        <f>AL128*(AM128+AN128-AO128)</f>
        <v/>
      </c>
      <c r="AQ128" s="15">
        <f>AL128*properties!$G$2*O128</f>
        <v/>
      </c>
      <c r="AR128" s="15">
        <f>(1-AL128)*$E$75*O128</f>
        <v/>
      </c>
      <c r="AS128" s="15">
        <f>AO128+AQ128+AR128</f>
        <v/>
      </c>
      <c r="AT128" s="15">
        <f>SUMIF(budget!$A$2:$A$300,"household",budget!$F$2:$F$300)*O128*IF(N128="",1,N128)</f>
        <v/>
      </c>
      <c r="AU128" s="15">
        <f>SUMPRODUCT((other_budget!$C$2:$C$30&lt;=A128)*(other_budget!$D$2:$D$30&gt;=A128)*other_budget!$B$2:$B$30)*O128</f>
        <v/>
      </c>
      <c r="AV128" s="15">
        <f>SUMPRODUCT((kids_budget!$D$2:$D$40&lt;=A128)*(kids_budget!$E$2:$E$40&gt;=A128)*(kids_budget!$G$2:$G$40&lt;&gt;"college_funds")*kids_budget!$C$2:$C$40*((kids_budget!$F$2:$F$40="college")*R128+(kids_budget!$F$2:$F$40&lt;&gt;"college")*O128))</f>
        <v/>
      </c>
      <c r="AW128" s="15">
        <f>SUMPRODUCT((kids_budget!$D$2:$D$40&lt;=A128)*(kids_budget!$E$2:$E$40&gt;=A128)*(kids_budget!$G$2:$G$40="college_funds")*kids_budget!$C$2:$C$40*((kids_budget!$F$2:$F$40="college")*R128+(kids_budget!$F$2:$F$40&lt;&gt;"college")*O128))</f>
        <v/>
      </c>
      <c r="AX128" s="15">
        <f>BA127</f>
        <v/>
      </c>
      <c r="AY128" s="15">
        <f>MIN(AW128,AX128*(1+M128))</f>
        <v/>
      </c>
      <c r="AZ128" s="15">
        <f>AW128-AY128</f>
        <v/>
      </c>
      <c r="BA128" s="15">
        <f>AX128*(1+M128)-AY128</f>
        <v/>
      </c>
      <c r="BB128" s="15">
        <f>V128*healthcare!$B$5*Q128</f>
        <v/>
      </c>
      <c r="BC128" s="12">
        <f>(1-V128)*((B128&lt;65)+(C128&lt;65))</f>
        <v/>
      </c>
      <c r="BD128" s="12">
        <f>COUNTIF(household!$C$16:$C$23,"&gt;="&amp;A128)</f>
        <v/>
      </c>
      <c r="BE128" s="15">
        <f>(BC128*healthcare!$B$2+IF(BC128&gt;0,BD128,0)*healthcare!$B$3)*12*Q128</f>
        <v/>
      </c>
      <c r="BF128" s="15">
        <f>IF(BC128&gt;0,(BC128+BD128)*healthcare!$B$4*Q128,0)</f>
        <v/>
      </c>
      <c r="BG128" s="12">
        <f>(B128&gt;=65)+(C128&gt;=65)</f>
        <v/>
      </c>
      <c r="BH128" s="15">
        <f>BG128*(healthcare!$B$6+healthcare!$B$7+healthcare!$B$8)*12*Q128</f>
        <v/>
      </c>
      <c r="BI128" s="15">
        <f>BG128*healthcare!$B$9*Q128</f>
        <v/>
      </c>
      <c r="BJ128" s="15">
        <f>BG128*12*O128*SUMPRODUCT((DK126&gt;tax_tables!$Q$5:$Q$9*P128)*tax_tables!$T$5:$T$9)</f>
        <v/>
      </c>
      <c r="BK128" s="12">
        <f>AND(B128&gt;=$B$51,B128&lt;$B$51+$B$52)*1+AND(C128&gt;=$B$53,C128&lt;$B$53+$B$54)*1</f>
        <v/>
      </c>
      <c r="BL128" s="15">
        <f>BK128*$B$55*S128</f>
        <v/>
      </c>
      <c r="BM128" s="15">
        <f>BB128+BE128+BF128+BH128+BI128+BJ128+BL128</f>
        <v/>
      </c>
      <c r="BN128" s="15">
        <f>BP127</f>
        <v/>
      </c>
      <c r="BO128" s="15">
        <f>IF(V128=1,0,MIN(BN128*(1+M128),BF128+BG128*(healthcare!$B$6+healthcare!$B$7)*12*Q128+BI128+BJ128+BL128))</f>
        <v/>
      </c>
      <c r="BP128" s="15">
        <f>BN128*(1+M128)-BO128+AC128-CV128</f>
        <v/>
      </c>
      <c r="BQ128" s="15">
        <f>SUMPRODUCT((1-($B$76:$B$79&gt;0)*(A128&gt;=$B$76:$B$79))*(1-(($C$76:$C$79&gt;0)*(A128&gt;=$C$76:$C$79)))*(properties!$L$3:$L$6-properties!$M$3:$M$6))*O128+SUMPRODUCT((1-($B$76:$B$79&gt;0)*(A128&gt;=$B$76:$B$79))*(($C$76:$C$79&gt;0)*(A128&gt;=$C$76:$C$79))*($D$76:$D$79-$E$76:$E$79))*O128</f>
        <v/>
      </c>
      <c r="BR128" s="15">
        <f>SUMPRODUCT((1-($B$76:$B$79&gt;0)*(A128&gt;=$B$76:$B$79))*properties!$N$3:$N$6*(A128&lt;=properties!$O$3:$O$6))</f>
        <v/>
      </c>
      <c r="BS128" s="15">
        <f>MAX(0,BQ128-BR128)</f>
        <v/>
      </c>
      <c r="BT128" s="15">
        <f>SUMPRODUCT(($B$75:$B$79=A128)*$G$75:$G$79)</f>
        <v/>
      </c>
      <c r="BU128" s="15">
        <f>SUMPRODUCT(($B$75:$B$79=A128)*$H$75:$H$79)</f>
        <v/>
      </c>
      <c r="BV128" s="15">
        <f>SUMPRODUCT(($B$75:$B$79=A128)*$I$75:$I$79)</f>
        <v/>
      </c>
      <c r="BW128" s="15">
        <f>AL128*properties!$C$2*(1+properties!$D$2)^(A128-household!$B$4+1)</f>
        <v/>
      </c>
      <c r="BX128" s="15">
        <f>SUMPRODUCT((1-($B$76:$B$79&gt;0)*(A128&gt;=$B$76:$B$79))*properties!$C$3:$C$6*(1+properties!$D$3:$D$6)^(A128-household!$B$4+1))</f>
        <v/>
      </c>
      <c r="BY128" s="15">
        <f>IF(A128&gt;=$B$31,IF(A128&gt;=$B$32,MAX(household!$B$11*12*(1-$B$28)*O128*IF(A128&gt;=$B$30,1-$B$29,1)*$B$33,0.5*household!$B$12*12*(1-$B$28)*O128*IF(A128&gt;=$B$30,1-$B$29,1)*$B$35),household!$B$11*12*(1-$B$28)*O128*IF(A128&gt;=$B$30,1-$B$29,1)*$B$33),0)</f>
        <v/>
      </c>
      <c r="BZ128" s="15">
        <f>IF(A128&gt;=$B$32,IF(A128&gt;=$B$31,MAX(household!$B$12*12*(1-$B$28)*O128*IF(A128&gt;=$B$30,1-$B$29,1)*$B$34,0.5*household!$B$11*12*(1-$B$28)*O128*IF(A128&gt;=$B$30,1-$B$29,1)*$B$36),household!$B$12*12*(1-$B$28)*O128*IF(A128&gt;=$B$30,1-$B$29,1)*$B$34),0)</f>
        <v/>
      </c>
      <c r="CA128" s="15">
        <f>IF(AND($B$43&lt;&gt;0,A128&gt;=household!$B$6+$B$44),$B$43*(1+$B$18)^(MAX(household!$B$6+$B$44,household!$B$4-1)-household!$B$4+1)*(1+$B$47*$B$18)^(A128-MAX(household!$B$6+$B$44,household!$B$4-1)),0)</f>
        <v/>
      </c>
      <c r="CB128" s="15">
        <f>IF(AND($B$45&lt;&gt;0,A128&gt;=household!$B$9+$B$46),$B$45*(1+$B$18)^(MAX(household!$B$9+$B$46,household!$B$4-1)-household!$B$4+1)*(1+$B$47*$B$18)^(A128-MAX(household!$B$9+$B$46,household!$B$4-1)),0)</f>
        <v/>
      </c>
      <c r="CC128" s="15">
        <f>DC127</f>
        <v/>
      </c>
      <c r="CD128" s="15">
        <f>DD127</f>
        <v/>
      </c>
      <c r="CE128" s="15">
        <f>$B$20*CC128</f>
        <v/>
      </c>
      <c r="CF128" s="15">
        <f>DE127</f>
        <v/>
      </c>
      <c r="CG128" s="15">
        <f>DF127</f>
        <v/>
      </c>
      <c r="CH128" s="15">
        <f>IF(B128&gt;=$B$71,MAX(0,CF128)/INDEX(tax_tables!$Z$5:$Z$53,MATCH(B128,tax_tables!$Y$5:$Y$53,0)),0)</f>
        <v/>
      </c>
      <c r="CI128" s="15">
        <f>IF(C128&gt;=$B$72,MAX(0,CG128)/INDEX(tax_tables!$Z$5:$Z$53,MATCH(C128,tax_tables!$Y$5:$Y$53,0)),0)</f>
        <v/>
      </c>
      <c r="CJ128" s="15">
        <f>DG127</f>
        <v/>
      </c>
      <c r="CK128" s="15">
        <f>IF(OR($B$59="",$B$60=""),0,IF(AND(A128&gt;=$B$59,A128&lt;=$B$60),$B$58*O128,0))</f>
        <v/>
      </c>
      <c r="CL128" s="15">
        <f>MAX(0,CF128*(1+M128)-CH128)</f>
        <v/>
      </c>
      <c r="CM128" s="15">
        <f>MAX(0,CG128*(1+M128)-CI128)</f>
        <v/>
      </c>
      <c r="CN128" s="15">
        <f>EB127-AG127</f>
        <v/>
      </c>
      <c r="CO128" s="15">
        <f>AH128+F128+CA128+CB128+BQ128+CE128+CH128+CI128+BT128+AI128+AJ128+BO128</f>
        <v/>
      </c>
      <c r="CP128" s="15">
        <f>D128+CN128-CO128</f>
        <v/>
      </c>
      <c r="CQ128" s="15">
        <f>MAX(0,MIN(CP128,CC128*(1+M128-$B$20)))</f>
        <v/>
      </c>
      <c r="CR128" s="15">
        <f>MAX(0,MIN(CP128-CQ128,CL128+CM128))</f>
        <v/>
      </c>
      <c r="CS128" s="15">
        <f>IF(CL128+CM128&gt;1,CR128*CL128/(CL128+CM128),0)</f>
        <v/>
      </c>
      <c r="CT128" s="15">
        <f>CR128-CS128</f>
        <v/>
      </c>
      <c r="CU128" s="15">
        <f>MAX(0,MIN(CP128-CQ128-CR128,CJ128*(1+M128)))</f>
        <v/>
      </c>
      <c r="CV128" s="15">
        <f>MAX(0,MIN(CP128-CQ128-CR128-CU128,BN128*(1+M128)-BO128+AC128))</f>
        <v/>
      </c>
      <c r="CW128" s="15">
        <f>MAX(0,-CP128)</f>
        <v/>
      </c>
      <c r="CX128" s="15">
        <f>MIN(CK128,CL128-CS128+CM128-CT128)</f>
        <v/>
      </c>
      <c r="CY128" s="15">
        <f>IF(CL128-CS128+CM128-CT128&gt;1,CX128*(CL128-CS128)/(CL128-CS128+CM128-CT128),0)</f>
        <v/>
      </c>
      <c r="CZ128" s="15">
        <f>CX128-CY128</f>
        <v/>
      </c>
      <c r="DA128" s="22">
        <f>IF(CC128&gt;0,MAX(0,1-CD128/CC128),0)</f>
        <v/>
      </c>
      <c r="DB128" s="15">
        <f>CQ128*DA128</f>
        <v/>
      </c>
      <c r="DC128" s="15">
        <f>CC128*(1+M128-$B$20)-CQ128+CW128</f>
        <v/>
      </c>
      <c r="DD128" s="15">
        <f>CD128-(CQ128-DB128)+CW128</f>
        <v/>
      </c>
      <c r="DE128" s="15">
        <f>CF128*(1+M128)-CH128-CS128-CY128+Y128+AA128</f>
        <v/>
      </c>
      <c r="DF128" s="15">
        <f>CG128*(1+M128)-CI128-CT128-CZ128+Z128+AB128</f>
        <v/>
      </c>
      <c r="DG128" s="15">
        <f>CJ128*(1+M128)-CU128+CX128</f>
        <v/>
      </c>
      <c r="DH128" s="15">
        <f>AE128+CR128+CH128+CI128+CX128+CV128+BS128+AI128+CA128+CB128</f>
        <v/>
      </c>
      <c r="DI128" s="15">
        <f>CE128+DB128+BU128</f>
        <v/>
      </c>
      <c r="DJ128" s="15">
        <f>IF((DH128+DI128+0.5*F128)&lt;=tax_tables!$B$14,0,IF((DH128+DI128+0.5*F128)&lt;=tax_tables!$B$15,MIN(0.5*F128,0.5*((DH128+DI128+0.5*F128)-tax_tables!$B$14)),MIN(0.85*F128,0.85*((DH128+DI128+0.5*F128)-tax_tables!$B$15)+MIN(0.5*F128,tax_tables!$B$15-tax_tables!$B$14))))</f>
        <v/>
      </c>
      <c r="DK128" s="15">
        <f>DH128+DI128+DJ128</f>
        <v/>
      </c>
      <c r="DL128" s="12">
        <f>(B128&gt;=65)+(C128&gt;=65)</f>
        <v/>
      </c>
      <c r="DM128" s="15">
        <f>(tax_tables!$B$5+tax_tables!$B$6*DL128)*P128</f>
        <v/>
      </c>
      <c r="DN128" s="15">
        <f>IF(AND(A128&gt;=tax_tables!$B$8,A128&lt;=tax_tables!$B$9),DL128*MAX(0,tax_tables!$B$7-tax_tables!$B$11*MAX(0,DK128-tax_tables!$B$10)),0)</f>
        <v/>
      </c>
      <c r="DO128" s="15">
        <f>IFERROR(MAX(tax_tables!$B$16,INDEX(tax_tables!$W$5:$W$8,MATCH(A128,tax_tables!$V$5:$V$8,0))-tax_tables!$B$18*MAX(0,DK128-tax_tables!$B$17*1.01^(A128-tax_tables!$B$4))),tax_tables!$B$16)</f>
        <v/>
      </c>
      <c r="DP128" s="15">
        <f>MAX(0,BM128-BB128-tax_tables!$B$23*DK128)</f>
        <v/>
      </c>
      <c r="DQ128" s="15">
        <f>AN128+MIN(DO128,DY127+DZ127+EA127+AL128*properties!$H$2*O128)+DP128+$B$61*O128</f>
        <v/>
      </c>
      <c r="DR128" s="15">
        <f>MAX(DM128,DQ128)</f>
        <v/>
      </c>
      <c r="DS128" s="15">
        <f>MAX(0,DH128+DJ128-DR128-DN128)</f>
        <v/>
      </c>
      <c r="DT128" s="15">
        <f>MAX(0,DI128-MAX(0,DR128+DN128-DH128-DJ128))</f>
        <v/>
      </c>
      <c r="DU128" s="15">
        <f>SUMPRODUCT((DS128&gt;tax_tables!$E$5:$E$16*P128)*(DS128-tax_tables!$E$5:$E$16*P128)*tax_tables!$G$5:$G$16)+SUMPRODUCT(((DS128+DT128)&gt;tax_tables!$I$5:$I$16*P128)*((DS128+DT128)-tax_tables!$I$5:$I$16*P128)*tax_tables!$K$5:$K$16)-SUMPRODUCT((DS128&gt;tax_tables!$I$5:$I$16*P128)*(DS128-tax_tables!$I$5:$I$16*P128)*tax_tables!$K$5:$K$16)+tax_tables!$B$19*BV128+tax_tables!$B$12*MIN(CE128+DB128+BS128+BU128,MAX(0,DK128-tax_tables!$B$13))</f>
        <v/>
      </c>
      <c r="DV128" s="12">
        <f>IF($B$39="",0,IF(A128&gt;=$B$39,1,0))</f>
        <v/>
      </c>
      <c r="DW128" s="15">
        <f>IF(B128+0.5&gt;=tax_tables!$B$30,MIN(CS128+CH128+CY128+CA128,tax_tables!$B$29),0)+IF(C128+0.5&gt;=tax_tables!$B$30,MIN(CT128+CI128+CZ128+CB128,tax_tables!$B$29),0)</f>
        <v/>
      </c>
      <c r="DX128" s="15">
        <f>MAX(0,DK128-tax_tables!$B$28*DJ128-DW128-tax_tables!$B$26*IF(tax_tables!$B$27=1,P128,1))</f>
        <v/>
      </c>
      <c r="DY128" s="15">
        <f>(1-DV128)*SUMPRODUCT((DX128&gt;tax_tables!$M$5:$M$16*IF(tax_tables!$B$27=1,P128,1))*(DX128-tax_tables!$M$5:$M$16*IF(tax_tables!$B$27=1,P128,1))*tax_tables!$O$5:$O$16)</f>
        <v/>
      </c>
      <c r="DZ128" s="15">
        <f>(1-DV128)*tax_tables!$B$31*DX128</f>
        <v/>
      </c>
      <c r="EA128" s="15">
        <f>DV128*$B$40*MAX(0,DK128-DJ128)</f>
        <v/>
      </c>
      <c r="EB128" s="15">
        <f>DU128+DY128+DZ128+EA128</f>
        <v/>
      </c>
      <c r="EC128" s="15">
        <f>DC128+DE128+DF128+DG128+BP128</f>
        <v/>
      </c>
      <c r="ED128" s="15">
        <f>EC128+BW128-AP128+BX128</f>
        <v/>
      </c>
    </row>
    <row r="129">
      <c r="A129" s="12">
        <f>A128+1</f>
        <v/>
      </c>
      <c r="B129" s="12">
        <f>A129-household!$B$6</f>
        <v/>
      </c>
      <c r="C129" s="12">
        <f>A129-household!$B$9</f>
        <v/>
      </c>
      <c r="D129" s="15">
        <f>AS129+AT129+AU129+AV129+AZ129+BM129+AK129</f>
        <v/>
      </c>
      <c r="E129" s="15">
        <f>CN129+AG129+AF129</f>
        <v/>
      </c>
      <c r="F129" s="15">
        <f>BY129+BZ129</f>
        <v/>
      </c>
      <c r="G129" s="15">
        <f>CQ129+CR129+CU129+CH129+CI129+CE129-CW129+CV129+BO129</f>
        <v/>
      </c>
      <c r="H129" s="22">
        <f>IF(CC129+CF129+CG129+CJ129+BN129&lt;=0,"",G129/(CC129+CF129+CG129+CJ129+BN129))</f>
        <v/>
      </c>
      <c r="I129" s="23">
        <f>EC129/O129</f>
        <v/>
      </c>
      <c r="J129" s="23">
        <f>ED129/O129</f>
        <v/>
      </c>
      <c r="K129" s="15">
        <f>MAX(0,CP129-CQ129-CR129-CU129-CV129)</f>
        <v/>
      </c>
      <c r="L129" s="11" t="n"/>
      <c r="M129" s="22">
        <f>IF(L129="",$B$19,L129)</f>
        <v/>
      </c>
      <c r="N129" s="14" t="n"/>
      <c r="O129" s="13">
        <f>(1+$B$18)^(A129-household!$B$4+1)</f>
        <v/>
      </c>
      <c r="P129" s="13">
        <f>(1+$B$18)^(A129-tax_tables!$B$4)</f>
        <v/>
      </c>
      <c r="Q129" s="13">
        <f>(1+$B$21)^(A129-household!$B$4+1)</f>
        <v/>
      </c>
      <c r="R129" s="13">
        <f>(1+$B$22)^(A129-household!$B$4+1)</f>
        <v/>
      </c>
      <c r="S129" s="13">
        <f>(1+$B$23)^(A129-household!$B$4+1)</f>
        <v/>
      </c>
      <c r="T129" s="12">
        <f>IF(A129&lt;$B$5,1,0)</f>
        <v/>
      </c>
      <c r="U129" s="12">
        <f>IF(A129&lt;$B$6,1,0)</f>
        <v/>
      </c>
      <c r="V129" s="12">
        <f>IF(T129+U129&gt;0,1,0)</f>
        <v/>
      </c>
      <c r="W129" s="15">
        <f>T129*$B$7*O129+SUMPRODUCT(($B$83:$B$88=A129)*($D$83:$D$88="Wages: person 1")*$C$83:$C$88)*O129</f>
        <v/>
      </c>
      <c r="X129" s="15">
        <f>U129*$B$8*O129+SUMPRODUCT(($B$83:$B$88=A129)*($D$83:$D$88="Wages: person 2")*$C$83:$C$88)*O129</f>
        <v/>
      </c>
      <c r="Y129" s="15">
        <f>T129*$B$9*O129</f>
        <v/>
      </c>
      <c r="Z129" s="15">
        <f>U129*$B$10*O129</f>
        <v/>
      </c>
      <c r="AA129" s="15">
        <f>T129*$B$11*O129</f>
        <v/>
      </c>
      <c r="AB129" s="15">
        <f>U129*$B$12*O129</f>
        <v/>
      </c>
      <c r="AC129" s="15">
        <f>V129*$B$13*O129</f>
        <v/>
      </c>
      <c r="AD129" s="15">
        <f>W129+X129</f>
        <v/>
      </c>
      <c r="AE129" s="15">
        <f>AD129-Y129-Z129-AC129</f>
        <v/>
      </c>
      <c r="AF129" s="15">
        <f>0.062*MIN(W129,tax_tables!$B$21*P129)+0.062*MIN(X129,tax_tables!$B$21*P129)+0.0145*AD129+0.009*MAX(0,AD129-tax_tables!$B$22)</f>
        <v/>
      </c>
      <c r="AG129" s="15">
        <f>$B$14*AE129</f>
        <v/>
      </c>
      <c r="AH129" s="15">
        <f>AD129-Y129-Z129-AC129-AF129-AG129</f>
        <v/>
      </c>
      <c r="AI129" s="15">
        <f>SUMPRODUCT(($B$83:$B$88=A129)*($D$83:$D$88="Other taxable income")*$C$83:$C$88)*O129</f>
        <v/>
      </c>
      <c r="AJ129" s="15">
        <f>SUMPRODUCT(($B$83:$B$88=A129)*($D$83:$D$88="Tax-free money in")*$C$83:$C$88)*O129</f>
        <v/>
      </c>
      <c r="AK129" s="15">
        <f>SUMPRODUCT(($B$83:$B$88=A129)*($D$83:$D$88="Expense")*$C$83:$C$88)*O129</f>
        <v/>
      </c>
      <c r="AL129" s="12">
        <f>IF(OR($B$75="",A129&lt;$B$75),1,0)</f>
        <v/>
      </c>
      <c r="AM129" s="15">
        <f>AP128</f>
        <v/>
      </c>
      <c r="AN129" s="15">
        <f>AL129*AM129*properties!$J$2</f>
        <v/>
      </c>
      <c r="AO129" s="15">
        <f>AL129*MIN(properties!$K$2,AM129+AN129)</f>
        <v/>
      </c>
      <c r="AP129" s="15">
        <f>AL129*(AM129+AN129-AO129)</f>
        <v/>
      </c>
      <c r="AQ129" s="15">
        <f>AL129*properties!$G$2*O129</f>
        <v/>
      </c>
      <c r="AR129" s="15">
        <f>(1-AL129)*$E$75*O129</f>
        <v/>
      </c>
      <c r="AS129" s="15">
        <f>AO129+AQ129+AR129</f>
        <v/>
      </c>
      <c r="AT129" s="15">
        <f>SUMIF(budget!$A$2:$A$300,"household",budget!$F$2:$F$300)*O129*IF(N129="",1,N129)</f>
        <v/>
      </c>
      <c r="AU129" s="15">
        <f>SUMPRODUCT((other_budget!$C$2:$C$30&lt;=A129)*(other_budget!$D$2:$D$30&gt;=A129)*other_budget!$B$2:$B$30)*O129</f>
        <v/>
      </c>
      <c r="AV129" s="15">
        <f>SUMPRODUCT((kids_budget!$D$2:$D$40&lt;=A129)*(kids_budget!$E$2:$E$40&gt;=A129)*(kids_budget!$G$2:$G$40&lt;&gt;"college_funds")*kids_budget!$C$2:$C$40*((kids_budget!$F$2:$F$40="college")*R129+(kids_budget!$F$2:$F$40&lt;&gt;"college")*O129))</f>
        <v/>
      </c>
      <c r="AW129" s="15">
        <f>SUMPRODUCT((kids_budget!$D$2:$D$40&lt;=A129)*(kids_budget!$E$2:$E$40&gt;=A129)*(kids_budget!$G$2:$G$40="college_funds")*kids_budget!$C$2:$C$40*((kids_budget!$F$2:$F$40="college")*R129+(kids_budget!$F$2:$F$40&lt;&gt;"college")*O129))</f>
        <v/>
      </c>
      <c r="AX129" s="15">
        <f>BA128</f>
        <v/>
      </c>
      <c r="AY129" s="15">
        <f>MIN(AW129,AX129*(1+M129))</f>
        <v/>
      </c>
      <c r="AZ129" s="15">
        <f>AW129-AY129</f>
        <v/>
      </c>
      <c r="BA129" s="15">
        <f>AX129*(1+M129)-AY129</f>
        <v/>
      </c>
      <c r="BB129" s="15">
        <f>V129*healthcare!$B$5*Q129</f>
        <v/>
      </c>
      <c r="BC129" s="12">
        <f>(1-V129)*((B129&lt;65)+(C129&lt;65))</f>
        <v/>
      </c>
      <c r="BD129" s="12">
        <f>COUNTIF(household!$C$16:$C$23,"&gt;="&amp;A129)</f>
        <v/>
      </c>
      <c r="BE129" s="15">
        <f>(BC129*healthcare!$B$2+IF(BC129&gt;0,BD129,0)*healthcare!$B$3)*12*Q129</f>
        <v/>
      </c>
      <c r="BF129" s="15">
        <f>IF(BC129&gt;0,(BC129+BD129)*healthcare!$B$4*Q129,0)</f>
        <v/>
      </c>
      <c r="BG129" s="12">
        <f>(B129&gt;=65)+(C129&gt;=65)</f>
        <v/>
      </c>
      <c r="BH129" s="15">
        <f>BG129*(healthcare!$B$6+healthcare!$B$7+healthcare!$B$8)*12*Q129</f>
        <v/>
      </c>
      <c r="BI129" s="15">
        <f>BG129*healthcare!$B$9*Q129</f>
        <v/>
      </c>
      <c r="BJ129" s="15">
        <f>BG129*12*O129*SUMPRODUCT((DK127&gt;tax_tables!$Q$5:$Q$9*P129)*tax_tables!$T$5:$T$9)</f>
        <v/>
      </c>
      <c r="BK129" s="12">
        <f>AND(B129&gt;=$B$51,B129&lt;$B$51+$B$52)*1+AND(C129&gt;=$B$53,C129&lt;$B$53+$B$54)*1</f>
        <v/>
      </c>
      <c r="BL129" s="15">
        <f>BK129*$B$55*S129</f>
        <v/>
      </c>
      <c r="BM129" s="15">
        <f>BB129+BE129+BF129+BH129+BI129+BJ129+BL129</f>
        <v/>
      </c>
      <c r="BN129" s="15">
        <f>BP128</f>
        <v/>
      </c>
      <c r="BO129" s="15">
        <f>IF(V129=1,0,MIN(BN129*(1+M129),BF129+BG129*(healthcare!$B$6+healthcare!$B$7)*12*Q129+BI129+BJ129+BL129))</f>
        <v/>
      </c>
      <c r="BP129" s="15">
        <f>BN129*(1+M129)-BO129+AC129-CV129</f>
        <v/>
      </c>
      <c r="BQ129" s="15">
        <f>SUMPRODUCT((1-($B$76:$B$79&gt;0)*(A129&gt;=$B$76:$B$79))*(1-(($C$76:$C$79&gt;0)*(A129&gt;=$C$76:$C$79)))*(properties!$L$3:$L$6-properties!$M$3:$M$6))*O129+SUMPRODUCT((1-($B$76:$B$79&gt;0)*(A129&gt;=$B$76:$B$79))*(($C$76:$C$79&gt;0)*(A129&gt;=$C$76:$C$79))*($D$76:$D$79-$E$76:$E$79))*O129</f>
        <v/>
      </c>
      <c r="BR129" s="15">
        <f>SUMPRODUCT((1-($B$76:$B$79&gt;0)*(A129&gt;=$B$76:$B$79))*properties!$N$3:$N$6*(A129&lt;=properties!$O$3:$O$6))</f>
        <v/>
      </c>
      <c r="BS129" s="15">
        <f>MAX(0,BQ129-BR129)</f>
        <v/>
      </c>
      <c r="BT129" s="15">
        <f>SUMPRODUCT(($B$75:$B$79=A129)*$G$75:$G$79)</f>
        <v/>
      </c>
      <c r="BU129" s="15">
        <f>SUMPRODUCT(($B$75:$B$79=A129)*$H$75:$H$79)</f>
        <v/>
      </c>
      <c r="BV129" s="15">
        <f>SUMPRODUCT(($B$75:$B$79=A129)*$I$75:$I$79)</f>
        <v/>
      </c>
      <c r="BW129" s="15">
        <f>AL129*properties!$C$2*(1+properties!$D$2)^(A129-household!$B$4+1)</f>
        <v/>
      </c>
      <c r="BX129" s="15">
        <f>SUMPRODUCT((1-($B$76:$B$79&gt;0)*(A129&gt;=$B$76:$B$79))*properties!$C$3:$C$6*(1+properties!$D$3:$D$6)^(A129-household!$B$4+1))</f>
        <v/>
      </c>
      <c r="BY129" s="15">
        <f>IF(A129&gt;=$B$31,IF(A129&gt;=$B$32,MAX(household!$B$11*12*(1-$B$28)*O129*IF(A129&gt;=$B$30,1-$B$29,1)*$B$33,0.5*household!$B$12*12*(1-$B$28)*O129*IF(A129&gt;=$B$30,1-$B$29,1)*$B$35),household!$B$11*12*(1-$B$28)*O129*IF(A129&gt;=$B$30,1-$B$29,1)*$B$33),0)</f>
        <v/>
      </c>
      <c r="BZ129" s="15">
        <f>IF(A129&gt;=$B$32,IF(A129&gt;=$B$31,MAX(household!$B$12*12*(1-$B$28)*O129*IF(A129&gt;=$B$30,1-$B$29,1)*$B$34,0.5*household!$B$11*12*(1-$B$28)*O129*IF(A129&gt;=$B$30,1-$B$29,1)*$B$36),household!$B$12*12*(1-$B$28)*O129*IF(A129&gt;=$B$30,1-$B$29,1)*$B$34),0)</f>
        <v/>
      </c>
      <c r="CA129" s="15">
        <f>IF(AND($B$43&lt;&gt;0,A129&gt;=household!$B$6+$B$44),$B$43*(1+$B$18)^(MAX(household!$B$6+$B$44,household!$B$4-1)-household!$B$4+1)*(1+$B$47*$B$18)^(A129-MAX(household!$B$6+$B$44,household!$B$4-1)),0)</f>
        <v/>
      </c>
      <c r="CB129" s="15">
        <f>IF(AND($B$45&lt;&gt;0,A129&gt;=household!$B$9+$B$46),$B$45*(1+$B$18)^(MAX(household!$B$9+$B$46,household!$B$4-1)-household!$B$4+1)*(1+$B$47*$B$18)^(A129-MAX(household!$B$9+$B$46,household!$B$4-1)),0)</f>
        <v/>
      </c>
      <c r="CC129" s="15">
        <f>DC128</f>
        <v/>
      </c>
      <c r="CD129" s="15">
        <f>DD128</f>
        <v/>
      </c>
      <c r="CE129" s="15">
        <f>$B$20*CC129</f>
        <v/>
      </c>
      <c r="CF129" s="15">
        <f>DE128</f>
        <v/>
      </c>
      <c r="CG129" s="15">
        <f>DF128</f>
        <v/>
      </c>
      <c r="CH129" s="15">
        <f>IF(B129&gt;=$B$71,MAX(0,CF129)/INDEX(tax_tables!$Z$5:$Z$53,MATCH(B129,tax_tables!$Y$5:$Y$53,0)),0)</f>
        <v/>
      </c>
      <c r="CI129" s="15">
        <f>IF(C129&gt;=$B$72,MAX(0,CG129)/INDEX(tax_tables!$Z$5:$Z$53,MATCH(C129,tax_tables!$Y$5:$Y$53,0)),0)</f>
        <v/>
      </c>
      <c r="CJ129" s="15">
        <f>DG128</f>
        <v/>
      </c>
      <c r="CK129" s="15">
        <f>IF(OR($B$59="",$B$60=""),0,IF(AND(A129&gt;=$B$59,A129&lt;=$B$60),$B$58*O129,0))</f>
        <v/>
      </c>
      <c r="CL129" s="15">
        <f>MAX(0,CF129*(1+M129)-CH129)</f>
        <v/>
      </c>
      <c r="CM129" s="15">
        <f>MAX(0,CG129*(1+M129)-CI129)</f>
        <v/>
      </c>
      <c r="CN129" s="15">
        <f>EB128-AG128</f>
        <v/>
      </c>
      <c r="CO129" s="15">
        <f>AH129+F129+CA129+CB129+BQ129+CE129+CH129+CI129+BT129+AI129+AJ129+BO129</f>
        <v/>
      </c>
      <c r="CP129" s="15">
        <f>D129+CN129-CO129</f>
        <v/>
      </c>
      <c r="CQ129" s="15">
        <f>MAX(0,MIN(CP129,CC129*(1+M129-$B$20)))</f>
        <v/>
      </c>
      <c r="CR129" s="15">
        <f>MAX(0,MIN(CP129-CQ129,CL129+CM129))</f>
        <v/>
      </c>
      <c r="CS129" s="15">
        <f>IF(CL129+CM129&gt;1,CR129*CL129/(CL129+CM129),0)</f>
        <v/>
      </c>
      <c r="CT129" s="15">
        <f>CR129-CS129</f>
        <v/>
      </c>
      <c r="CU129" s="15">
        <f>MAX(0,MIN(CP129-CQ129-CR129,CJ129*(1+M129)))</f>
        <v/>
      </c>
      <c r="CV129" s="15">
        <f>MAX(0,MIN(CP129-CQ129-CR129-CU129,BN129*(1+M129)-BO129+AC129))</f>
        <v/>
      </c>
      <c r="CW129" s="15">
        <f>MAX(0,-CP129)</f>
        <v/>
      </c>
      <c r="CX129" s="15">
        <f>MIN(CK129,CL129-CS129+CM129-CT129)</f>
        <v/>
      </c>
      <c r="CY129" s="15">
        <f>IF(CL129-CS129+CM129-CT129&gt;1,CX129*(CL129-CS129)/(CL129-CS129+CM129-CT129),0)</f>
        <v/>
      </c>
      <c r="CZ129" s="15">
        <f>CX129-CY129</f>
        <v/>
      </c>
      <c r="DA129" s="22">
        <f>IF(CC129&gt;0,MAX(0,1-CD129/CC129),0)</f>
        <v/>
      </c>
      <c r="DB129" s="15">
        <f>CQ129*DA129</f>
        <v/>
      </c>
      <c r="DC129" s="15">
        <f>CC129*(1+M129-$B$20)-CQ129+CW129</f>
        <v/>
      </c>
      <c r="DD129" s="15">
        <f>CD129-(CQ129-DB129)+CW129</f>
        <v/>
      </c>
      <c r="DE129" s="15">
        <f>CF129*(1+M129)-CH129-CS129-CY129+Y129+AA129</f>
        <v/>
      </c>
      <c r="DF129" s="15">
        <f>CG129*(1+M129)-CI129-CT129-CZ129+Z129+AB129</f>
        <v/>
      </c>
      <c r="DG129" s="15">
        <f>CJ129*(1+M129)-CU129+CX129</f>
        <v/>
      </c>
      <c r="DH129" s="15">
        <f>AE129+CR129+CH129+CI129+CX129+CV129+BS129+AI129+CA129+CB129</f>
        <v/>
      </c>
      <c r="DI129" s="15">
        <f>CE129+DB129+BU129</f>
        <v/>
      </c>
      <c r="DJ129" s="15">
        <f>IF((DH129+DI129+0.5*F129)&lt;=tax_tables!$B$14,0,IF((DH129+DI129+0.5*F129)&lt;=tax_tables!$B$15,MIN(0.5*F129,0.5*((DH129+DI129+0.5*F129)-tax_tables!$B$14)),MIN(0.85*F129,0.85*((DH129+DI129+0.5*F129)-tax_tables!$B$15)+MIN(0.5*F129,tax_tables!$B$15-tax_tables!$B$14))))</f>
        <v/>
      </c>
      <c r="DK129" s="15">
        <f>DH129+DI129+DJ129</f>
        <v/>
      </c>
      <c r="DL129" s="12">
        <f>(B129&gt;=65)+(C129&gt;=65)</f>
        <v/>
      </c>
      <c r="DM129" s="15">
        <f>(tax_tables!$B$5+tax_tables!$B$6*DL129)*P129</f>
        <v/>
      </c>
      <c r="DN129" s="15">
        <f>IF(AND(A129&gt;=tax_tables!$B$8,A129&lt;=tax_tables!$B$9),DL129*MAX(0,tax_tables!$B$7-tax_tables!$B$11*MAX(0,DK129-tax_tables!$B$10)),0)</f>
        <v/>
      </c>
      <c r="DO129" s="15">
        <f>IFERROR(MAX(tax_tables!$B$16,INDEX(tax_tables!$W$5:$W$8,MATCH(A129,tax_tables!$V$5:$V$8,0))-tax_tables!$B$18*MAX(0,DK129-tax_tables!$B$17*1.01^(A129-tax_tables!$B$4))),tax_tables!$B$16)</f>
        <v/>
      </c>
      <c r="DP129" s="15">
        <f>MAX(0,BM129-BB129-tax_tables!$B$23*DK129)</f>
        <v/>
      </c>
      <c r="DQ129" s="15">
        <f>AN129+MIN(DO129,DY128+DZ128+EA128+AL129*properties!$H$2*O129)+DP129+$B$61*O129</f>
        <v/>
      </c>
      <c r="DR129" s="15">
        <f>MAX(DM129,DQ129)</f>
        <v/>
      </c>
      <c r="DS129" s="15">
        <f>MAX(0,DH129+DJ129-DR129-DN129)</f>
        <v/>
      </c>
      <c r="DT129" s="15">
        <f>MAX(0,DI129-MAX(0,DR129+DN129-DH129-DJ129))</f>
        <v/>
      </c>
      <c r="DU129" s="15">
        <f>SUMPRODUCT((DS129&gt;tax_tables!$E$5:$E$16*P129)*(DS129-tax_tables!$E$5:$E$16*P129)*tax_tables!$G$5:$G$16)+SUMPRODUCT(((DS129+DT129)&gt;tax_tables!$I$5:$I$16*P129)*((DS129+DT129)-tax_tables!$I$5:$I$16*P129)*tax_tables!$K$5:$K$16)-SUMPRODUCT((DS129&gt;tax_tables!$I$5:$I$16*P129)*(DS129-tax_tables!$I$5:$I$16*P129)*tax_tables!$K$5:$K$16)+tax_tables!$B$19*BV129+tax_tables!$B$12*MIN(CE129+DB129+BS129+BU129,MAX(0,DK129-tax_tables!$B$13))</f>
        <v/>
      </c>
      <c r="DV129" s="12">
        <f>IF($B$39="",0,IF(A129&gt;=$B$39,1,0))</f>
        <v/>
      </c>
      <c r="DW129" s="15">
        <f>IF(B129+0.5&gt;=tax_tables!$B$30,MIN(CS129+CH129+CY129+CA129,tax_tables!$B$29),0)+IF(C129+0.5&gt;=tax_tables!$B$30,MIN(CT129+CI129+CZ129+CB129,tax_tables!$B$29),0)</f>
        <v/>
      </c>
      <c r="DX129" s="15">
        <f>MAX(0,DK129-tax_tables!$B$28*DJ129-DW129-tax_tables!$B$26*IF(tax_tables!$B$27=1,P129,1))</f>
        <v/>
      </c>
      <c r="DY129" s="15">
        <f>(1-DV129)*SUMPRODUCT((DX129&gt;tax_tables!$M$5:$M$16*IF(tax_tables!$B$27=1,P129,1))*(DX129-tax_tables!$M$5:$M$16*IF(tax_tables!$B$27=1,P129,1))*tax_tables!$O$5:$O$16)</f>
        <v/>
      </c>
      <c r="DZ129" s="15">
        <f>(1-DV129)*tax_tables!$B$31*DX129</f>
        <v/>
      </c>
      <c r="EA129" s="15">
        <f>DV129*$B$40*MAX(0,DK129-DJ129)</f>
        <v/>
      </c>
      <c r="EB129" s="15">
        <f>DU129+DY129+DZ129+EA129</f>
        <v/>
      </c>
      <c r="EC129" s="15">
        <f>DC129+DE129+DF129+DG129+BP129</f>
        <v/>
      </c>
      <c r="ED129" s="15">
        <f>EC129+BW129-AP129+BX129</f>
        <v/>
      </c>
    </row>
    <row r="130">
      <c r="A130" s="12">
        <f>A129+1</f>
        <v/>
      </c>
      <c r="B130" s="12">
        <f>A130-household!$B$6</f>
        <v/>
      </c>
      <c r="C130" s="12">
        <f>A130-household!$B$9</f>
        <v/>
      </c>
      <c r="D130" s="15">
        <f>AS130+AT130+AU130+AV130+AZ130+BM130+AK130</f>
        <v/>
      </c>
      <c r="E130" s="15">
        <f>CN130+AG130+AF130</f>
        <v/>
      </c>
      <c r="F130" s="15">
        <f>BY130+BZ130</f>
        <v/>
      </c>
      <c r="G130" s="15">
        <f>CQ130+CR130+CU130+CH130+CI130+CE130-CW130+CV130+BO130</f>
        <v/>
      </c>
      <c r="H130" s="22">
        <f>IF(CC130+CF130+CG130+CJ130+BN130&lt;=0,"",G130/(CC130+CF130+CG130+CJ130+BN130))</f>
        <v/>
      </c>
      <c r="I130" s="23">
        <f>EC130/O130</f>
        <v/>
      </c>
      <c r="J130" s="23">
        <f>ED130/O130</f>
        <v/>
      </c>
      <c r="K130" s="15">
        <f>MAX(0,CP130-CQ130-CR130-CU130-CV130)</f>
        <v/>
      </c>
      <c r="L130" s="11" t="n"/>
      <c r="M130" s="22">
        <f>IF(L130="",$B$19,L130)</f>
        <v/>
      </c>
      <c r="N130" s="14" t="n"/>
      <c r="O130" s="13">
        <f>(1+$B$18)^(A130-household!$B$4+1)</f>
        <v/>
      </c>
      <c r="P130" s="13">
        <f>(1+$B$18)^(A130-tax_tables!$B$4)</f>
        <v/>
      </c>
      <c r="Q130" s="13">
        <f>(1+$B$21)^(A130-household!$B$4+1)</f>
        <v/>
      </c>
      <c r="R130" s="13">
        <f>(1+$B$22)^(A130-household!$B$4+1)</f>
        <v/>
      </c>
      <c r="S130" s="13">
        <f>(1+$B$23)^(A130-household!$B$4+1)</f>
        <v/>
      </c>
      <c r="T130" s="12">
        <f>IF(A130&lt;$B$5,1,0)</f>
        <v/>
      </c>
      <c r="U130" s="12">
        <f>IF(A130&lt;$B$6,1,0)</f>
        <v/>
      </c>
      <c r="V130" s="12">
        <f>IF(T130+U130&gt;0,1,0)</f>
        <v/>
      </c>
      <c r="W130" s="15">
        <f>T130*$B$7*O130+SUMPRODUCT(($B$83:$B$88=A130)*($D$83:$D$88="Wages: person 1")*$C$83:$C$88)*O130</f>
        <v/>
      </c>
      <c r="X130" s="15">
        <f>U130*$B$8*O130+SUMPRODUCT(($B$83:$B$88=A130)*($D$83:$D$88="Wages: person 2")*$C$83:$C$88)*O130</f>
        <v/>
      </c>
      <c r="Y130" s="15">
        <f>T130*$B$9*O130</f>
        <v/>
      </c>
      <c r="Z130" s="15">
        <f>U130*$B$10*O130</f>
        <v/>
      </c>
      <c r="AA130" s="15">
        <f>T130*$B$11*O130</f>
        <v/>
      </c>
      <c r="AB130" s="15">
        <f>U130*$B$12*O130</f>
        <v/>
      </c>
      <c r="AC130" s="15">
        <f>V130*$B$13*O130</f>
        <v/>
      </c>
      <c r="AD130" s="15">
        <f>W130+X130</f>
        <v/>
      </c>
      <c r="AE130" s="15">
        <f>AD130-Y130-Z130-AC130</f>
        <v/>
      </c>
      <c r="AF130" s="15">
        <f>0.062*MIN(W130,tax_tables!$B$21*P130)+0.062*MIN(X130,tax_tables!$B$21*P130)+0.0145*AD130+0.009*MAX(0,AD130-tax_tables!$B$22)</f>
        <v/>
      </c>
      <c r="AG130" s="15">
        <f>$B$14*AE130</f>
        <v/>
      </c>
      <c r="AH130" s="15">
        <f>AD130-Y130-Z130-AC130-AF130-AG130</f>
        <v/>
      </c>
      <c r="AI130" s="15">
        <f>SUMPRODUCT(($B$83:$B$88=A130)*($D$83:$D$88="Other taxable income")*$C$83:$C$88)*O130</f>
        <v/>
      </c>
      <c r="AJ130" s="15">
        <f>SUMPRODUCT(($B$83:$B$88=A130)*($D$83:$D$88="Tax-free money in")*$C$83:$C$88)*O130</f>
        <v/>
      </c>
      <c r="AK130" s="15">
        <f>SUMPRODUCT(($B$83:$B$88=A130)*($D$83:$D$88="Expense")*$C$83:$C$88)*O130</f>
        <v/>
      </c>
      <c r="AL130" s="12">
        <f>IF(OR($B$75="",A130&lt;$B$75),1,0)</f>
        <v/>
      </c>
      <c r="AM130" s="15">
        <f>AP129</f>
        <v/>
      </c>
      <c r="AN130" s="15">
        <f>AL130*AM130*properties!$J$2</f>
        <v/>
      </c>
      <c r="AO130" s="15">
        <f>AL130*MIN(properties!$K$2,AM130+AN130)</f>
        <v/>
      </c>
      <c r="AP130" s="15">
        <f>AL130*(AM130+AN130-AO130)</f>
        <v/>
      </c>
      <c r="AQ130" s="15">
        <f>AL130*properties!$G$2*O130</f>
        <v/>
      </c>
      <c r="AR130" s="15">
        <f>(1-AL130)*$E$75*O130</f>
        <v/>
      </c>
      <c r="AS130" s="15">
        <f>AO130+AQ130+AR130</f>
        <v/>
      </c>
      <c r="AT130" s="15">
        <f>SUMIF(budget!$A$2:$A$300,"household",budget!$F$2:$F$300)*O130*IF(N130="",1,N130)</f>
        <v/>
      </c>
      <c r="AU130" s="15">
        <f>SUMPRODUCT((other_budget!$C$2:$C$30&lt;=A130)*(other_budget!$D$2:$D$30&gt;=A130)*other_budget!$B$2:$B$30)*O130</f>
        <v/>
      </c>
      <c r="AV130" s="15">
        <f>SUMPRODUCT((kids_budget!$D$2:$D$40&lt;=A130)*(kids_budget!$E$2:$E$40&gt;=A130)*(kids_budget!$G$2:$G$40&lt;&gt;"college_funds")*kids_budget!$C$2:$C$40*((kids_budget!$F$2:$F$40="college")*R130+(kids_budget!$F$2:$F$40&lt;&gt;"college")*O130))</f>
        <v/>
      </c>
      <c r="AW130" s="15">
        <f>SUMPRODUCT((kids_budget!$D$2:$D$40&lt;=A130)*(kids_budget!$E$2:$E$40&gt;=A130)*(kids_budget!$G$2:$G$40="college_funds")*kids_budget!$C$2:$C$40*((kids_budget!$F$2:$F$40="college")*R130+(kids_budget!$F$2:$F$40&lt;&gt;"college")*O130))</f>
        <v/>
      </c>
      <c r="AX130" s="15">
        <f>BA129</f>
        <v/>
      </c>
      <c r="AY130" s="15">
        <f>MIN(AW130,AX130*(1+M130))</f>
        <v/>
      </c>
      <c r="AZ130" s="15">
        <f>AW130-AY130</f>
        <v/>
      </c>
      <c r="BA130" s="15">
        <f>AX130*(1+M130)-AY130</f>
        <v/>
      </c>
      <c r="BB130" s="15">
        <f>V130*healthcare!$B$5*Q130</f>
        <v/>
      </c>
      <c r="BC130" s="12">
        <f>(1-V130)*((B130&lt;65)+(C130&lt;65))</f>
        <v/>
      </c>
      <c r="BD130" s="12">
        <f>COUNTIF(household!$C$16:$C$23,"&gt;="&amp;A130)</f>
        <v/>
      </c>
      <c r="BE130" s="15">
        <f>(BC130*healthcare!$B$2+IF(BC130&gt;0,BD130,0)*healthcare!$B$3)*12*Q130</f>
        <v/>
      </c>
      <c r="BF130" s="15">
        <f>IF(BC130&gt;0,(BC130+BD130)*healthcare!$B$4*Q130,0)</f>
        <v/>
      </c>
      <c r="BG130" s="12">
        <f>(B130&gt;=65)+(C130&gt;=65)</f>
        <v/>
      </c>
      <c r="BH130" s="15">
        <f>BG130*(healthcare!$B$6+healthcare!$B$7+healthcare!$B$8)*12*Q130</f>
        <v/>
      </c>
      <c r="BI130" s="15">
        <f>BG130*healthcare!$B$9*Q130</f>
        <v/>
      </c>
      <c r="BJ130" s="15">
        <f>BG130*12*O130*SUMPRODUCT((DK128&gt;tax_tables!$Q$5:$Q$9*P130)*tax_tables!$T$5:$T$9)</f>
        <v/>
      </c>
      <c r="BK130" s="12">
        <f>AND(B130&gt;=$B$51,B130&lt;$B$51+$B$52)*1+AND(C130&gt;=$B$53,C130&lt;$B$53+$B$54)*1</f>
        <v/>
      </c>
      <c r="BL130" s="15">
        <f>BK130*$B$55*S130</f>
        <v/>
      </c>
      <c r="BM130" s="15">
        <f>BB130+BE130+BF130+BH130+BI130+BJ130+BL130</f>
        <v/>
      </c>
      <c r="BN130" s="15">
        <f>BP129</f>
        <v/>
      </c>
      <c r="BO130" s="15">
        <f>IF(V130=1,0,MIN(BN130*(1+M130),BF130+BG130*(healthcare!$B$6+healthcare!$B$7)*12*Q130+BI130+BJ130+BL130))</f>
        <v/>
      </c>
      <c r="BP130" s="15">
        <f>BN130*(1+M130)-BO130+AC130-CV130</f>
        <v/>
      </c>
      <c r="BQ130" s="15">
        <f>SUMPRODUCT((1-($B$76:$B$79&gt;0)*(A130&gt;=$B$76:$B$79))*(1-(($C$76:$C$79&gt;0)*(A130&gt;=$C$76:$C$79)))*(properties!$L$3:$L$6-properties!$M$3:$M$6))*O130+SUMPRODUCT((1-($B$76:$B$79&gt;0)*(A130&gt;=$B$76:$B$79))*(($C$76:$C$79&gt;0)*(A130&gt;=$C$76:$C$79))*($D$76:$D$79-$E$76:$E$79))*O130</f>
        <v/>
      </c>
      <c r="BR130" s="15">
        <f>SUMPRODUCT((1-($B$76:$B$79&gt;0)*(A130&gt;=$B$76:$B$79))*properties!$N$3:$N$6*(A130&lt;=properties!$O$3:$O$6))</f>
        <v/>
      </c>
      <c r="BS130" s="15">
        <f>MAX(0,BQ130-BR130)</f>
        <v/>
      </c>
      <c r="BT130" s="15">
        <f>SUMPRODUCT(($B$75:$B$79=A130)*$G$75:$G$79)</f>
        <v/>
      </c>
      <c r="BU130" s="15">
        <f>SUMPRODUCT(($B$75:$B$79=A130)*$H$75:$H$79)</f>
        <v/>
      </c>
      <c r="BV130" s="15">
        <f>SUMPRODUCT(($B$75:$B$79=A130)*$I$75:$I$79)</f>
        <v/>
      </c>
      <c r="BW130" s="15">
        <f>AL130*properties!$C$2*(1+properties!$D$2)^(A130-household!$B$4+1)</f>
        <v/>
      </c>
      <c r="BX130" s="15">
        <f>SUMPRODUCT((1-($B$76:$B$79&gt;0)*(A130&gt;=$B$76:$B$79))*properties!$C$3:$C$6*(1+properties!$D$3:$D$6)^(A130-household!$B$4+1))</f>
        <v/>
      </c>
      <c r="BY130" s="15">
        <f>IF(A130&gt;=$B$31,IF(A130&gt;=$B$32,MAX(household!$B$11*12*(1-$B$28)*O130*IF(A130&gt;=$B$30,1-$B$29,1)*$B$33,0.5*household!$B$12*12*(1-$B$28)*O130*IF(A130&gt;=$B$30,1-$B$29,1)*$B$35),household!$B$11*12*(1-$B$28)*O130*IF(A130&gt;=$B$30,1-$B$29,1)*$B$33),0)</f>
        <v/>
      </c>
      <c r="BZ130" s="15">
        <f>IF(A130&gt;=$B$32,IF(A130&gt;=$B$31,MAX(household!$B$12*12*(1-$B$28)*O130*IF(A130&gt;=$B$30,1-$B$29,1)*$B$34,0.5*household!$B$11*12*(1-$B$28)*O130*IF(A130&gt;=$B$30,1-$B$29,1)*$B$36),household!$B$12*12*(1-$B$28)*O130*IF(A130&gt;=$B$30,1-$B$29,1)*$B$34),0)</f>
        <v/>
      </c>
      <c r="CA130" s="15">
        <f>IF(AND($B$43&lt;&gt;0,A130&gt;=household!$B$6+$B$44),$B$43*(1+$B$18)^(MAX(household!$B$6+$B$44,household!$B$4-1)-household!$B$4+1)*(1+$B$47*$B$18)^(A130-MAX(household!$B$6+$B$44,household!$B$4-1)),0)</f>
        <v/>
      </c>
      <c r="CB130" s="15">
        <f>IF(AND($B$45&lt;&gt;0,A130&gt;=household!$B$9+$B$46),$B$45*(1+$B$18)^(MAX(household!$B$9+$B$46,household!$B$4-1)-household!$B$4+1)*(1+$B$47*$B$18)^(A130-MAX(household!$B$9+$B$46,household!$B$4-1)),0)</f>
        <v/>
      </c>
      <c r="CC130" s="15">
        <f>DC129</f>
        <v/>
      </c>
      <c r="CD130" s="15">
        <f>DD129</f>
        <v/>
      </c>
      <c r="CE130" s="15">
        <f>$B$20*CC130</f>
        <v/>
      </c>
      <c r="CF130" s="15">
        <f>DE129</f>
        <v/>
      </c>
      <c r="CG130" s="15">
        <f>DF129</f>
        <v/>
      </c>
      <c r="CH130" s="15">
        <f>IF(B130&gt;=$B$71,MAX(0,CF130)/INDEX(tax_tables!$Z$5:$Z$53,MATCH(B130,tax_tables!$Y$5:$Y$53,0)),0)</f>
        <v/>
      </c>
      <c r="CI130" s="15">
        <f>IF(C130&gt;=$B$72,MAX(0,CG130)/INDEX(tax_tables!$Z$5:$Z$53,MATCH(C130,tax_tables!$Y$5:$Y$53,0)),0)</f>
        <v/>
      </c>
      <c r="CJ130" s="15">
        <f>DG129</f>
        <v/>
      </c>
      <c r="CK130" s="15">
        <f>IF(OR($B$59="",$B$60=""),0,IF(AND(A130&gt;=$B$59,A130&lt;=$B$60),$B$58*O130,0))</f>
        <v/>
      </c>
      <c r="CL130" s="15">
        <f>MAX(0,CF130*(1+M130)-CH130)</f>
        <v/>
      </c>
      <c r="CM130" s="15">
        <f>MAX(0,CG130*(1+M130)-CI130)</f>
        <v/>
      </c>
      <c r="CN130" s="15">
        <f>EB129-AG129</f>
        <v/>
      </c>
      <c r="CO130" s="15">
        <f>AH130+F130+CA130+CB130+BQ130+CE130+CH130+CI130+BT130+AI130+AJ130+BO130</f>
        <v/>
      </c>
      <c r="CP130" s="15">
        <f>D130+CN130-CO130</f>
        <v/>
      </c>
      <c r="CQ130" s="15">
        <f>MAX(0,MIN(CP130,CC130*(1+M130-$B$20)))</f>
        <v/>
      </c>
      <c r="CR130" s="15">
        <f>MAX(0,MIN(CP130-CQ130,CL130+CM130))</f>
        <v/>
      </c>
      <c r="CS130" s="15">
        <f>IF(CL130+CM130&gt;1,CR130*CL130/(CL130+CM130),0)</f>
        <v/>
      </c>
      <c r="CT130" s="15">
        <f>CR130-CS130</f>
        <v/>
      </c>
      <c r="CU130" s="15">
        <f>MAX(0,MIN(CP130-CQ130-CR130,CJ130*(1+M130)))</f>
        <v/>
      </c>
      <c r="CV130" s="15">
        <f>MAX(0,MIN(CP130-CQ130-CR130-CU130,BN130*(1+M130)-BO130+AC130))</f>
        <v/>
      </c>
      <c r="CW130" s="15">
        <f>MAX(0,-CP130)</f>
        <v/>
      </c>
      <c r="CX130" s="15">
        <f>MIN(CK130,CL130-CS130+CM130-CT130)</f>
        <v/>
      </c>
      <c r="CY130" s="15">
        <f>IF(CL130-CS130+CM130-CT130&gt;1,CX130*(CL130-CS130)/(CL130-CS130+CM130-CT130),0)</f>
        <v/>
      </c>
      <c r="CZ130" s="15">
        <f>CX130-CY130</f>
        <v/>
      </c>
      <c r="DA130" s="22">
        <f>IF(CC130&gt;0,MAX(0,1-CD130/CC130),0)</f>
        <v/>
      </c>
      <c r="DB130" s="15">
        <f>CQ130*DA130</f>
        <v/>
      </c>
      <c r="DC130" s="15">
        <f>CC130*(1+M130-$B$20)-CQ130+CW130</f>
        <v/>
      </c>
      <c r="DD130" s="15">
        <f>CD130-(CQ130-DB130)+CW130</f>
        <v/>
      </c>
      <c r="DE130" s="15">
        <f>CF130*(1+M130)-CH130-CS130-CY130+Y130+AA130</f>
        <v/>
      </c>
      <c r="DF130" s="15">
        <f>CG130*(1+M130)-CI130-CT130-CZ130+Z130+AB130</f>
        <v/>
      </c>
      <c r="DG130" s="15">
        <f>CJ130*(1+M130)-CU130+CX130</f>
        <v/>
      </c>
      <c r="DH130" s="15">
        <f>AE130+CR130+CH130+CI130+CX130+CV130+BS130+AI130+CA130+CB130</f>
        <v/>
      </c>
      <c r="DI130" s="15">
        <f>CE130+DB130+BU130</f>
        <v/>
      </c>
      <c r="DJ130" s="15">
        <f>IF((DH130+DI130+0.5*F130)&lt;=tax_tables!$B$14,0,IF((DH130+DI130+0.5*F130)&lt;=tax_tables!$B$15,MIN(0.5*F130,0.5*((DH130+DI130+0.5*F130)-tax_tables!$B$14)),MIN(0.85*F130,0.85*((DH130+DI130+0.5*F130)-tax_tables!$B$15)+MIN(0.5*F130,tax_tables!$B$15-tax_tables!$B$14))))</f>
        <v/>
      </c>
      <c r="DK130" s="15">
        <f>DH130+DI130+DJ130</f>
        <v/>
      </c>
      <c r="DL130" s="12">
        <f>(B130&gt;=65)+(C130&gt;=65)</f>
        <v/>
      </c>
      <c r="DM130" s="15">
        <f>(tax_tables!$B$5+tax_tables!$B$6*DL130)*P130</f>
        <v/>
      </c>
      <c r="DN130" s="15">
        <f>IF(AND(A130&gt;=tax_tables!$B$8,A130&lt;=tax_tables!$B$9),DL130*MAX(0,tax_tables!$B$7-tax_tables!$B$11*MAX(0,DK130-tax_tables!$B$10)),0)</f>
        <v/>
      </c>
      <c r="DO130" s="15">
        <f>IFERROR(MAX(tax_tables!$B$16,INDEX(tax_tables!$W$5:$W$8,MATCH(A130,tax_tables!$V$5:$V$8,0))-tax_tables!$B$18*MAX(0,DK130-tax_tables!$B$17*1.01^(A130-tax_tables!$B$4))),tax_tables!$B$16)</f>
        <v/>
      </c>
      <c r="DP130" s="15">
        <f>MAX(0,BM130-BB130-tax_tables!$B$23*DK130)</f>
        <v/>
      </c>
      <c r="DQ130" s="15">
        <f>AN130+MIN(DO130,DY129+DZ129+EA129+AL130*properties!$H$2*O130)+DP130+$B$61*O130</f>
        <v/>
      </c>
      <c r="DR130" s="15">
        <f>MAX(DM130,DQ130)</f>
        <v/>
      </c>
      <c r="DS130" s="15">
        <f>MAX(0,DH130+DJ130-DR130-DN130)</f>
        <v/>
      </c>
      <c r="DT130" s="15">
        <f>MAX(0,DI130-MAX(0,DR130+DN130-DH130-DJ130))</f>
        <v/>
      </c>
      <c r="DU130" s="15">
        <f>SUMPRODUCT((DS130&gt;tax_tables!$E$5:$E$16*P130)*(DS130-tax_tables!$E$5:$E$16*P130)*tax_tables!$G$5:$G$16)+SUMPRODUCT(((DS130+DT130)&gt;tax_tables!$I$5:$I$16*P130)*((DS130+DT130)-tax_tables!$I$5:$I$16*P130)*tax_tables!$K$5:$K$16)-SUMPRODUCT((DS130&gt;tax_tables!$I$5:$I$16*P130)*(DS130-tax_tables!$I$5:$I$16*P130)*tax_tables!$K$5:$K$16)+tax_tables!$B$19*BV130+tax_tables!$B$12*MIN(CE130+DB130+BS130+BU130,MAX(0,DK130-tax_tables!$B$13))</f>
        <v/>
      </c>
      <c r="DV130" s="12">
        <f>IF($B$39="",0,IF(A130&gt;=$B$39,1,0))</f>
        <v/>
      </c>
      <c r="DW130" s="15">
        <f>IF(B130+0.5&gt;=tax_tables!$B$30,MIN(CS130+CH130+CY130+CA130,tax_tables!$B$29),0)+IF(C130+0.5&gt;=tax_tables!$B$30,MIN(CT130+CI130+CZ130+CB130,tax_tables!$B$29),0)</f>
        <v/>
      </c>
      <c r="DX130" s="15">
        <f>MAX(0,DK130-tax_tables!$B$28*DJ130-DW130-tax_tables!$B$26*IF(tax_tables!$B$27=1,P130,1))</f>
        <v/>
      </c>
      <c r="DY130" s="15">
        <f>(1-DV130)*SUMPRODUCT((DX130&gt;tax_tables!$M$5:$M$16*IF(tax_tables!$B$27=1,P130,1))*(DX130-tax_tables!$M$5:$M$16*IF(tax_tables!$B$27=1,P130,1))*tax_tables!$O$5:$O$16)</f>
        <v/>
      </c>
      <c r="DZ130" s="15">
        <f>(1-DV130)*tax_tables!$B$31*DX130</f>
        <v/>
      </c>
      <c r="EA130" s="15">
        <f>DV130*$B$40*MAX(0,DK130-DJ130)</f>
        <v/>
      </c>
      <c r="EB130" s="15">
        <f>DU130+DY130+DZ130+EA130</f>
        <v/>
      </c>
      <c r="EC130" s="15">
        <f>DC130+DE130+DF130+DG130+BP130</f>
        <v/>
      </c>
      <c r="ED130" s="15">
        <f>EC130+BW130-AP130+BX130</f>
        <v/>
      </c>
    </row>
    <row r="131">
      <c r="A131" s="12">
        <f>A130+1</f>
        <v/>
      </c>
      <c r="B131" s="12">
        <f>A131-household!$B$6</f>
        <v/>
      </c>
      <c r="C131" s="12">
        <f>A131-household!$B$9</f>
        <v/>
      </c>
      <c r="D131" s="15">
        <f>AS131+AT131+AU131+AV131+AZ131+BM131+AK131</f>
        <v/>
      </c>
      <c r="E131" s="15">
        <f>CN131+AG131+AF131</f>
        <v/>
      </c>
      <c r="F131" s="15">
        <f>BY131+BZ131</f>
        <v/>
      </c>
      <c r="G131" s="15">
        <f>CQ131+CR131+CU131+CH131+CI131+CE131-CW131+CV131+BO131</f>
        <v/>
      </c>
      <c r="H131" s="22">
        <f>IF(CC131+CF131+CG131+CJ131+BN131&lt;=0,"",G131/(CC131+CF131+CG131+CJ131+BN131))</f>
        <v/>
      </c>
      <c r="I131" s="23">
        <f>EC131/O131</f>
        <v/>
      </c>
      <c r="J131" s="23">
        <f>ED131/O131</f>
        <v/>
      </c>
      <c r="K131" s="15">
        <f>MAX(0,CP131-CQ131-CR131-CU131-CV131)</f>
        <v/>
      </c>
      <c r="L131" s="11" t="n"/>
      <c r="M131" s="22">
        <f>IF(L131="",$B$19,L131)</f>
        <v/>
      </c>
      <c r="N131" s="14" t="n"/>
      <c r="O131" s="13">
        <f>(1+$B$18)^(A131-household!$B$4+1)</f>
        <v/>
      </c>
      <c r="P131" s="13">
        <f>(1+$B$18)^(A131-tax_tables!$B$4)</f>
        <v/>
      </c>
      <c r="Q131" s="13">
        <f>(1+$B$21)^(A131-household!$B$4+1)</f>
        <v/>
      </c>
      <c r="R131" s="13">
        <f>(1+$B$22)^(A131-household!$B$4+1)</f>
        <v/>
      </c>
      <c r="S131" s="13">
        <f>(1+$B$23)^(A131-household!$B$4+1)</f>
        <v/>
      </c>
      <c r="T131" s="12">
        <f>IF(A131&lt;$B$5,1,0)</f>
        <v/>
      </c>
      <c r="U131" s="12">
        <f>IF(A131&lt;$B$6,1,0)</f>
        <v/>
      </c>
      <c r="V131" s="12">
        <f>IF(T131+U131&gt;0,1,0)</f>
        <v/>
      </c>
      <c r="W131" s="15">
        <f>T131*$B$7*O131+SUMPRODUCT(($B$83:$B$88=A131)*($D$83:$D$88="Wages: person 1")*$C$83:$C$88)*O131</f>
        <v/>
      </c>
      <c r="X131" s="15">
        <f>U131*$B$8*O131+SUMPRODUCT(($B$83:$B$88=A131)*($D$83:$D$88="Wages: person 2")*$C$83:$C$88)*O131</f>
        <v/>
      </c>
      <c r="Y131" s="15">
        <f>T131*$B$9*O131</f>
        <v/>
      </c>
      <c r="Z131" s="15">
        <f>U131*$B$10*O131</f>
        <v/>
      </c>
      <c r="AA131" s="15">
        <f>T131*$B$11*O131</f>
        <v/>
      </c>
      <c r="AB131" s="15">
        <f>U131*$B$12*O131</f>
        <v/>
      </c>
      <c r="AC131" s="15">
        <f>V131*$B$13*O131</f>
        <v/>
      </c>
      <c r="AD131" s="15">
        <f>W131+X131</f>
        <v/>
      </c>
      <c r="AE131" s="15">
        <f>AD131-Y131-Z131-AC131</f>
        <v/>
      </c>
      <c r="AF131" s="15">
        <f>0.062*MIN(W131,tax_tables!$B$21*P131)+0.062*MIN(X131,tax_tables!$B$21*P131)+0.0145*AD131+0.009*MAX(0,AD131-tax_tables!$B$22)</f>
        <v/>
      </c>
      <c r="AG131" s="15">
        <f>$B$14*AE131</f>
        <v/>
      </c>
      <c r="AH131" s="15">
        <f>AD131-Y131-Z131-AC131-AF131-AG131</f>
        <v/>
      </c>
      <c r="AI131" s="15">
        <f>SUMPRODUCT(($B$83:$B$88=A131)*($D$83:$D$88="Other taxable income")*$C$83:$C$88)*O131</f>
        <v/>
      </c>
      <c r="AJ131" s="15">
        <f>SUMPRODUCT(($B$83:$B$88=A131)*($D$83:$D$88="Tax-free money in")*$C$83:$C$88)*O131</f>
        <v/>
      </c>
      <c r="AK131" s="15">
        <f>SUMPRODUCT(($B$83:$B$88=A131)*($D$83:$D$88="Expense")*$C$83:$C$88)*O131</f>
        <v/>
      </c>
      <c r="AL131" s="12">
        <f>IF(OR($B$75="",A131&lt;$B$75),1,0)</f>
        <v/>
      </c>
      <c r="AM131" s="15">
        <f>AP130</f>
        <v/>
      </c>
      <c r="AN131" s="15">
        <f>AL131*AM131*properties!$J$2</f>
        <v/>
      </c>
      <c r="AO131" s="15">
        <f>AL131*MIN(properties!$K$2,AM131+AN131)</f>
        <v/>
      </c>
      <c r="AP131" s="15">
        <f>AL131*(AM131+AN131-AO131)</f>
        <v/>
      </c>
      <c r="AQ131" s="15">
        <f>AL131*properties!$G$2*O131</f>
        <v/>
      </c>
      <c r="AR131" s="15">
        <f>(1-AL131)*$E$75*O131</f>
        <v/>
      </c>
      <c r="AS131" s="15">
        <f>AO131+AQ131+AR131</f>
        <v/>
      </c>
      <c r="AT131" s="15">
        <f>SUMIF(budget!$A$2:$A$300,"household",budget!$F$2:$F$300)*O131*IF(N131="",1,N131)</f>
        <v/>
      </c>
      <c r="AU131" s="15">
        <f>SUMPRODUCT((other_budget!$C$2:$C$30&lt;=A131)*(other_budget!$D$2:$D$30&gt;=A131)*other_budget!$B$2:$B$30)*O131</f>
        <v/>
      </c>
      <c r="AV131" s="15">
        <f>SUMPRODUCT((kids_budget!$D$2:$D$40&lt;=A131)*(kids_budget!$E$2:$E$40&gt;=A131)*(kids_budget!$G$2:$G$40&lt;&gt;"college_funds")*kids_budget!$C$2:$C$40*((kids_budget!$F$2:$F$40="college")*R131+(kids_budget!$F$2:$F$40&lt;&gt;"college")*O131))</f>
        <v/>
      </c>
      <c r="AW131" s="15">
        <f>SUMPRODUCT((kids_budget!$D$2:$D$40&lt;=A131)*(kids_budget!$E$2:$E$40&gt;=A131)*(kids_budget!$G$2:$G$40="college_funds")*kids_budget!$C$2:$C$40*((kids_budget!$F$2:$F$40="college")*R131+(kids_budget!$F$2:$F$40&lt;&gt;"college")*O131))</f>
        <v/>
      </c>
      <c r="AX131" s="15">
        <f>BA130</f>
        <v/>
      </c>
      <c r="AY131" s="15">
        <f>MIN(AW131,AX131*(1+M131))</f>
        <v/>
      </c>
      <c r="AZ131" s="15">
        <f>AW131-AY131</f>
        <v/>
      </c>
      <c r="BA131" s="15">
        <f>AX131*(1+M131)-AY131</f>
        <v/>
      </c>
      <c r="BB131" s="15">
        <f>V131*healthcare!$B$5*Q131</f>
        <v/>
      </c>
      <c r="BC131" s="12">
        <f>(1-V131)*((B131&lt;65)+(C131&lt;65))</f>
        <v/>
      </c>
      <c r="BD131" s="12">
        <f>COUNTIF(household!$C$16:$C$23,"&gt;="&amp;A131)</f>
        <v/>
      </c>
      <c r="BE131" s="15">
        <f>(BC131*healthcare!$B$2+IF(BC131&gt;0,BD131,0)*healthcare!$B$3)*12*Q131</f>
        <v/>
      </c>
      <c r="BF131" s="15">
        <f>IF(BC131&gt;0,(BC131+BD131)*healthcare!$B$4*Q131,0)</f>
        <v/>
      </c>
      <c r="BG131" s="12">
        <f>(B131&gt;=65)+(C131&gt;=65)</f>
        <v/>
      </c>
      <c r="BH131" s="15">
        <f>BG131*(healthcare!$B$6+healthcare!$B$7+healthcare!$B$8)*12*Q131</f>
        <v/>
      </c>
      <c r="BI131" s="15">
        <f>BG131*healthcare!$B$9*Q131</f>
        <v/>
      </c>
      <c r="BJ131" s="15">
        <f>BG131*12*O131*SUMPRODUCT((DK129&gt;tax_tables!$Q$5:$Q$9*P131)*tax_tables!$T$5:$T$9)</f>
        <v/>
      </c>
      <c r="BK131" s="12">
        <f>AND(B131&gt;=$B$51,B131&lt;$B$51+$B$52)*1+AND(C131&gt;=$B$53,C131&lt;$B$53+$B$54)*1</f>
        <v/>
      </c>
      <c r="BL131" s="15">
        <f>BK131*$B$55*S131</f>
        <v/>
      </c>
      <c r="BM131" s="15">
        <f>BB131+BE131+BF131+BH131+BI131+BJ131+BL131</f>
        <v/>
      </c>
      <c r="BN131" s="15">
        <f>BP130</f>
        <v/>
      </c>
      <c r="BO131" s="15">
        <f>IF(V131=1,0,MIN(BN131*(1+M131),BF131+BG131*(healthcare!$B$6+healthcare!$B$7)*12*Q131+BI131+BJ131+BL131))</f>
        <v/>
      </c>
      <c r="BP131" s="15">
        <f>BN131*(1+M131)-BO131+AC131-CV131</f>
        <v/>
      </c>
      <c r="BQ131" s="15">
        <f>SUMPRODUCT((1-($B$76:$B$79&gt;0)*(A131&gt;=$B$76:$B$79))*(1-(($C$76:$C$79&gt;0)*(A131&gt;=$C$76:$C$79)))*(properties!$L$3:$L$6-properties!$M$3:$M$6))*O131+SUMPRODUCT((1-($B$76:$B$79&gt;0)*(A131&gt;=$B$76:$B$79))*(($C$76:$C$79&gt;0)*(A131&gt;=$C$76:$C$79))*($D$76:$D$79-$E$76:$E$79))*O131</f>
        <v/>
      </c>
      <c r="BR131" s="15">
        <f>SUMPRODUCT((1-($B$76:$B$79&gt;0)*(A131&gt;=$B$76:$B$79))*properties!$N$3:$N$6*(A131&lt;=properties!$O$3:$O$6))</f>
        <v/>
      </c>
      <c r="BS131" s="15">
        <f>MAX(0,BQ131-BR131)</f>
        <v/>
      </c>
      <c r="BT131" s="15">
        <f>SUMPRODUCT(($B$75:$B$79=A131)*$G$75:$G$79)</f>
        <v/>
      </c>
      <c r="BU131" s="15">
        <f>SUMPRODUCT(($B$75:$B$79=A131)*$H$75:$H$79)</f>
        <v/>
      </c>
      <c r="BV131" s="15">
        <f>SUMPRODUCT(($B$75:$B$79=A131)*$I$75:$I$79)</f>
        <v/>
      </c>
      <c r="BW131" s="15">
        <f>AL131*properties!$C$2*(1+properties!$D$2)^(A131-household!$B$4+1)</f>
        <v/>
      </c>
      <c r="BX131" s="15">
        <f>SUMPRODUCT((1-($B$76:$B$79&gt;0)*(A131&gt;=$B$76:$B$79))*properties!$C$3:$C$6*(1+properties!$D$3:$D$6)^(A131-household!$B$4+1))</f>
        <v/>
      </c>
      <c r="BY131" s="15">
        <f>IF(A131&gt;=$B$31,IF(A131&gt;=$B$32,MAX(household!$B$11*12*(1-$B$28)*O131*IF(A131&gt;=$B$30,1-$B$29,1)*$B$33,0.5*household!$B$12*12*(1-$B$28)*O131*IF(A131&gt;=$B$30,1-$B$29,1)*$B$35),household!$B$11*12*(1-$B$28)*O131*IF(A131&gt;=$B$30,1-$B$29,1)*$B$33),0)</f>
        <v/>
      </c>
      <c r="BZ131" s="15">
        <f>IF(A131&gt;=$B$32,IF(A131&gt;=$B$31,MAX(household!$B$12*12*(1-$B$28)*O131*IF(A131&gt;=$B$30,1-$B$29,1)*$B$34,0.5*household!$B$11*12*(1-$B$28)*O131*IF(A131&gt;=$B$30,1-$B$29,1)*$B$36),household!$B$12*12*(1-$B$28)*O131*IF(A131&gt;=$B$30,1-$B$29,1)*$B$34),0)</f>
        <v/>
      </c>
      <c r="CA131" s="15">
        <f>IF(AND($B$43&lt;&gt;0,A131&gt;=household!$B$6+$B$44),$B$43*(1+$B$18)^(MAX(household!$B$6+$B$44,household!$B$4-1)-household!$B$4+1)*(1+$B$47*$B$18)^(A131-MAX(household!$B$6+$B$44,household!$B$4-1)),0)</f>
        <v/>
      </c>
      <c r="CB131" s="15">
        <f>IF(AND($B$45&lt;&gt;0,A131&gt;=household!$B$9+$B$46),$B$45*(1+$B$18)^(MAX(household!$B$9+$B$46,household!$B$4-1)-household!$B$4+1)*(1+$B$47*$B$18)^(A131-MAX(household!$B$9+$B$46,household!$B$4-1)),0)</f>
        <v/>
      </c>
      <c r="CC131" s="15">
        <f>DC130</f>
        <v/>
      </c>
      <c r="CD131" s="15">
        <f>DD130</f>
        <v/>
      </c>
      <c r="CE131" s="15">
        <f>$B$20*CC131</f>
        <v/>
      </c>
      <c r="CF131" s="15">
        <f>DE130</f>
        <v/>
      </c>
      <c r="CG131" s="15">
        <f>DF130</f>
        <v/>
      </c>
      <c r="CH131" s="15">
        <f>IF(B131&gt;=$B$71,MAX(0,CF131)/INDEX(tax_tables!$Z$5:$Z$53,MATCH(B131,tax_tables!$Y$5:$Y$53,0)),0)</f>
        <v/>
      </c>
      <c r="CI131" s="15">
        <f>IF(C131&gt;=$B$72,MAX(0,CG131)/INDEX(tax_tables!$Z$5:$Z$53,MATCH(C131,tax_tables!$Y$5:$Y$53,0)),0)</f>
        <v/>
      </c>
      <c r="CJ131" s="15">
        <f>DG130</f>
        <v/>
      </c>
      <c r="CK131" s="15">
        <f>IF(OR($B$59="",$B$60=""),0,IF(AND(A131&gt;=$B$59,A131&lt;=$B$60),$B$58*O131,0))</f>
        <v/>
      </c>
      <c r="CL131" s="15">
        <f>MAX(0,CF131*(1+M131)-CH131)</f>
        <v/>
      </c>
      <c r="CM131" s="15">
        <f>MAX(0,CG131*(1+M131)-CI131)</f>
        <v/>
      </c>
      <c r="CN131" s="15">
        <f>EB130-AG130</f>
        <v/>
      </c>
      <c r="CO131" s="15">
        <f>AH131+F131+CA131+CB131+BQ131+CE131+CH131+CI131+BT131+AI131+AJ131+BO131</f>
        <v/>
      </c>
      <c r="CP131" s="15">
        <f>D131+CN131-CO131</f>
        <v/>
      </c>
      <c r="CQ131" s="15">
        <f>MAX(0,MIN(CP131,CC131*(1+M131-$B$20)))</f>
        <v/>
      </c>
      <c r="CR131" s="15">
        <f>MAX(0,MIN(CP131-CQ131,CL131+CM131))</f>
        <v/>
      </c>
      <c r="CS131" s="15">
        <f>IF(CL131+CM131&gt;1,CR131*CL131/(CL131+CM131),0)</f>
        <v/>
      </c>
      <c r="CT131" s="15">
        <f>CR131-CS131</f>
        <v/>
      </c>
      <c r="CU131" s="15">
        <f>MAX(0,MIN(CP131-CQ131-CR131,CJ131*(1+M131)))</f>
        <v/>
      </c>
      <c r="CV131" s="15">
        <f>MAX(0,MIN(CP131-CQ131-CR131-CU131,BN131*(1+M131)-BO131+AC131))</f>
        <v/>
      </c>
      <c r="CW131" s="15">
        <f>MAX(0,-CP131)</f>
        <v/>
      </c>
      <c r="CX131" s="15">
        <f>MIN(CK131,CL131-CS131+CM131-CT131)</f>
        <v/>
      </c>
      <c r="CY131" s="15">
        <f>IF(CL131-CS131+CM131-CT131&gt;1,CX131*(CL131-CS131)/(CL131-CS131+CM131-CT131),0)</f>
        <v/>
      </c>
      <c r="CZ131" s="15">
        <f>CX131-CY131</f>
        <v/>
      </c>
      <c r="DA131" s="22">
        <f>IF(CC131&gt;0,MAX(0,1-CD131/CC131),0)</f>
        <v/>
      </c>
      <c r="DB131" s="15">
        <f>CQ131*DA131</f>
        <v/>
      </c>
      <c r="DC131" s="15">
        <f>CC131*(1+M131-$B$20)-CQ131+CW131</f>
        <v/>
      </c>
      <c r="DD131" s="15">
        <f>CD131-(CQ131-DB131)+CW131</f>
        <v/>
      </c>
      <c r="DE131" s="15">
        <f>CF131*(1+M131)-CH131-CS131-CY131+Y131+AA131</f>
        <v/>
      </c>
      <c r="DF131" s="15">
        <f>CG131*(1+M131)-CI131-CT131-CZ131+Z131+AB131</f>
        <v/>
      </c>
      <c r="DG131" s="15">
        <f>CJ131*(1+M131)-CU131+CX131</f>
        <v/>
      </c>
      <c r="DH131" s="15">
        <f>AE131+CR131+CH131+CI131+CX131+CV131+BS131+AI131+CA131+CB131</f>
        <v/>
      </c>
      <c r="DI131" s="15">
        <f>CE131+DB131+BU131</f>
        <v/>
      </c>
      <c r="DJ131" s="15">
        <f>IF((DH131+DI131+0.5*F131)&lt;=tax_tables!$B$14,0,IF((DH131+DI131+0.5*F131)&lt;=tax_tables!$B$15,MIN(0.5*F131,0.5*((DH131+DI131+0.5*F131)-tax_tables!$B$14)),MIN(0.85*F131,0.85*((DH131+DI131+0.5*F131)-tax_tables!$B$15)+MIN(0.5*F131,tax_tables!$B$15-tax_tables!$B$14))))</f>
        <v/>
      </c>
      <c r="DK131" s="15">
        <f>DH131+DI131+DJ131</f>
        <v/>
      </c>
      <c r="DL131" s="12">
        <f>(B131&gt;=65)+(C131&gt;=65)</f>
        <v/>
      </c>
      <c r="DM131" s="15">
        <f>(tax_tables!$B$5+tax_tables!$B$6*DL131)*P131</f>
        <v/>
      </c>
      <c r="DN131" s="15">
        <f>IF(AND(A131&gt;=tax_tables!$B$8,A131&lt;=tax_tables!$B$9),DL131*MAX(0,tax_tables!$B$7-tax_tables!$B$11*MAX(0,DK131-tax_tables!$B$10)),0)</f>
        <v/>
      </c>
      <c r="DO131" s="15">
        <f>IFERROR(MAX(tax_tables!$B$16,INDEX(tax_tables!$W$5:$W$8,MATCH(A131,tax_tables!$V$5:$V$8,0))-tax_tables!$B$18*MAX(0,DK131-tax_tables!$B$17*1.01^(A131-tax_tables!$B$4))),tax_tables!$B$16)</f>
        <v/>
      </c>
      <c r="DP131" s="15">
        <f>MAX(0,BM131-BB131-tax_tables!$B$23*DK131)</f>
        <v/>
      </c>
      <c r="DQ131" s="15">
        <f>AN131+MIN(DO131,DY130+DZ130+EA130+AL131*properties!$H$2*O131)+DP131+$B$61*O131</f>
        <v/>
      </c>
      <c r="DR131" s="15">
        <f>MAX(DM131,DQ131)</f>
        <v/>
      </c>
      <c r="DS131" s="15">
        <f>MAX(0,DH131+DJ131-DR131-DN131)</f>
        <v/>
      </c>
      <c r="DT131" s="15">
        <f>MAX(0,DI131-MAX(0,DR131+DN131-DH131-DJ131))</f>
        <v/>
      </c>
      <c r="DU131" s="15">
        <f>SUMPRODUCT((DS131&gt;tax_tables!$E$5:$E$16*P131)*(DS131-tax_tables!$E$5:$E$16*P131)*tax_tables!$G$5:$G$16)+SUMPRODUCT(((DS131+DT131)&gt;tax_tables!$I$5:$I$16*P131)*((DS131+DT131)-tax_tables!$I$5:$I$16*P131)*tax_tables!$K$5:$K$16)-SUMPRODUCT((DS131&gt;tax_tables!$I$5:$I$16*P131)*(DS131-tax_tables!$I$5:$I$16*P131)*tax_tables!$K$5:$K$16)+tax_tables!$B$19*BV131+tax_tables!$B$12*MIN(CE131+DB131+BS131+BU131,MAX(0,DK131-tax_tables!$B$13))</f>
        <v/>
      </c>
      <c r="DV131" s="12">
        <f>IF($B$39="",0,IF(A131&gt;=$B$39,1,0))</f>
        <v/>
      </c>
      <c r="DW131" s="15">
        <f>IF(B131+0.5&gt;=tax_tables!$B$30,MIN(CS131+CH131+CY131+CA131,tax_tables!$B$29),0)+IF(C131+0.5&gt;=tax_tables!$B$30,MIN(CT131+CI131+CZ131+CB131,tax_tables!$B$29),0)</f>
        <v/>
      </c>
      <c r="DX131" s="15">
        <f>MAX(0,DK131-tax_tables!$B$28*DJ131-DW131-tax_tables!$B$26*IF(tax_tables!$B$27=1,P131,1))</f>
        <v/>
      </c>
      <c r="DY131" s="15">
        <f>(1-DV131)*SUMPRODUCT((DX131&gt;tax_tables!$M$5:$M$16*IF(tax_tables!$B$27=1,P131,1))*(DX131-tax_tables!$M$5:$M$16*IF(tax_tables!$B$27=1,P131,1))*tax_tables!$O$5:$O$16)</f>
        <v/>
      </c>
      <c r="DZ131" s="15">
        <f>(1-DV131)*tax_tables!$B$31*DX131</f>
        <v/>
      </c>
      <c r="EA131" s="15">
        <f>DV131*$B$40*MAX(0,DK131-DJ131)</f>
        <v/>
      </c>
      <c r="EB131" s="15">
        <f>DU131+DY131+DZ131+EA131</f>
        <v/>
      </c>
      <c r="EC131" s="15">
        <f>DC131+DE131+DF131+DG131+BP131</f>
        <v/>
      </c>
      <c r="ED131" s="15">
        <f>EC131+BW131-AP131+BX131</f>
        <v/>
      </c>
    </row>
    <row r="132">
      <c r="A132" s="12">
        <f>A131+1</f>
        <v/>
      </c>
      <c r="B132" s="12">
        <f>A132-household!$B$6</f>
        <v/>
      </c>
      <c r="C132" s="12">
        <f>A132-household!$B$9</f>
        <v/>
      </c>
      <c r="D132" s="15">
        <f>AS132+AT132+AU132+AV132+AZ132+BM132+AK132</f>
        <v/>
      </c>
      <c r="E132" s="15">
        <f>CN132+AG132+AF132</f>
        <v/>
      </c>
      <c r="F132" s="15">
        <f>BY132+BZ132</f>
        <v/>
      </c>
      <c r="G132" s="15">
        <f>CQ132+CR132+CU132+CH132+CI132+CE132-CW132+CV132+BO132</f>
        <v/>
      </c>
      <c r="H132" s="22">
        <f>IF(CC132+CF132+CG132+CJ132+BN132&lt;=0,"",G132/(CC132+CF132+CG132+CJ132+BN132))</f>
        <v/>
      </c>
      <c r="I132" s="23">
        <f>EC132/O132</f>
        <v/>
      </c>
      <c r="J132" s="23">
        <f>ED132/O132</f>
        <v/>
      </c>
      <c r="K132" s="15">
        <f>MAX(0,CP132-CQ132-CR132-CU132-CV132)</f>
        <v/>
      </c>
      <c r="L132" s="11" t="n"/>
      <c r="M132" s="22">
        <f>IF(L132="",$B$19,L132)</f>
        <v/>
      </c>
      <c r="N132" s="14" t="n"/>
      <c r="O132" s="13">
        <f>(1+$B$18)^(A132-household!$B$4+1)</f>
        <v/>
      </c>
      <c r="P132" s="13">
        <f>(1+$B$18)^(A132-tax_tables!$B$4)</f>
        <v/>
      </c>
      <c r="Q132" s="13">
        <f>(1+$B$21)^(A132-household!$B$4+1)</f>
        <v/>
      </c>
      <c r="R132" s="13">
        <f>(1+$B$22)^(A132-household!$B$4+1)</f>
        <v/>
      </c>
      <c r="S132" s="13">
        <f>(1+$B$23)^(A132-household!$B$4+1)</f>
        <v/>
      </c>
      <c r="T132" s="12">
        <f>IF(A132&lt;$B$5,1,0)</f>
        <v/>
      </c>
      <c r="U132" s="12">
        <f>IF(A132&lt;$B$6,1,0)</f>
        <v/>
      </c>
      <c r="V132" s="12">
        <f>IF(T132+U132&gt;0,1,0)</f>
        <v/>
      </c>
      <c r="W132" s="15">
        <f>T132*$B$7*O132+SUMPRODUCT(($B$83:$B$88=A132)*($D$83:$D$88="Wages: person 1")*$C$83:$C$88)*O132</f>
        <v/>
      </c>
      <c r="X132" s="15">
        <f>U132*$B$8*O132+SUMPRODUCT(($B$83:$B$88=A132)*($D$83:$D$88="Wages: person 2")*$C$83:$C$88)*O132</f>
        <v/>
      </c>
      <c r="Y132" s="15">
        <f>T132*$B$9*O132</f>
        <v/>
      </c>
      <c r="Z132" s="15">
        <f>U132*$B$10*O132</f>
        <v/>
      </c>
      <c r="AA132" s="15">
        <f>T132*$B$11*O132</f>
        <v/>
      </c>
      <c r="AB132" s="15">
        <f>U132*$B$12*O132</f>
        <v/>
      </c>
      <c r="AC132" s="15">
        <f>V132*$B$13*O132</f>
        <v/>
      </c>
      <c r="AD132" s="15">
        <f>W132+X132</f>
        <v/>
      </c>
      <c r="AE132" s="15">
        <f>AD132-Y132-Z132-AC132</f>
        <v/>
      </c>
      <c r="AF132" s="15">
        <f>0.062*MIN(W132,tax_tables!$B$21*P132)+0.062*MIN(X132,tax_tables!$B$21*P132)+0.0145*AD132+0.009*MAX(0,AD132-tax_tables!$B$22)</f>
        <v/>
      </c>
      <c r="AG132" s="15">
        <f>$B$14*AE132</f>
        <v/>
      </c>
      <c r="AH132" s="15">
        <f>AD132-Y132-Z132-AC132-AF132-AG132</f>
        <v/>
      </c>
      <c r="AI132" s="15">
        <f>SUMPRODUCT(($B$83:$B$88=A132)*($D$83:$D$88="Other taxable income")*$C$83:$C$88)*O132</f>
        <v/>
      </c>
      <c r="AJ132" s="15">
        <f>SUMPRODUCT(($B$83:$B$88=A132)*($D$83:$D$88="Tax-free money in")*$C$83:$C$88)*O132</f>
        <v/>
      </c>
      <c r="AK132" s="15">
        <f>SUMPRODUCT(($B$83:$B$88=A132)*($D$83:$D$88="Expense")*$C$83:$C$88)*O132</f>
        <v/>
      </c>
      <c r="AL132" s="12">
        <f>IF(OR($B$75="",A132&lt;$B$75),1,0)</f>
        <v/>
      </c>
      <c r="AM132" s="15">
        <f>AP131</f>
        <v/>
      </c>
      <c r="AN132" s="15">
        <f>AL132*AM132*properties!$J$2</f>
        <v/>
      </c>
      <c r="AO132" s="15">
        <f>AL132*MIN(properties!$K$2,AM132+AN132)</f>
        <v/>
      </c>
      <c r="AP132" s="15">
        <f>AL132*(AM132+AN132-AO132)</f>
        <v/>
      </c>
      <c r="AQ132" s="15">
        <f>AL132*properties!$G$2*O132</f>
        <v/>
      </c>
      <c r="AR132" s="15">
        <f>(1-AL132)*$E$75*O132</f>
        <v/>
      </c>
      <c r="AS132" s="15">
        <f>AO132+AQ132+AR132</f>
        <v/>
      </c>
      <c r="AT132" s="15">
        <f>SUMIF(budget!$A$2:$A$300,"household",budget!$F$2:$F$300)*O132*IF(N132="",1,N132)</f>
        <v/>
      </c>
      <c r="AU132" s="15">
        <f>SUMPRODUCT((other_budget!$C$2:$C$30&lt;=A132)*(other_budget!$D$2:$D$30&gt;=A132)*other_budget!$B$2:$B$30)*O132</f>
        <v/>
      </c>
      <c r="AV132" s="15">
        <f>SUMPRODUCT((kids_budget!$D$2:$D$40&lt;=A132)*(kids_budget!$E$2:$E$40&gt;=A132)*(kids_budget!$G$2:$G$40&lt;&gt;"college_funds")*kids_budget!$C$2:$C$40*((kids_budget!$F$2:$F$40="college")*R132+(kids_budget!$F$2:$F$40&lt;&gt;"college")*O132))</f>
        <v/>
      </c>
      <c r="AW132" s="15">
        <f>SUMPRODUCT((kids_budget!$D$2:$D$40&lt;=A132)*(kids_budget!$E$2:$E$40&gt;=A132)*(kids_budget!$G$2:$G$40="college_funds")*kids_budget!$C$2:$C$40*((kids_budget!$F$2:$F$40="college")*R132+(kids_budget!$F$2:$F$40&lt;&gt;"college")*O132))</f>
        <v/>
      </c>
      <c r="AX132" s="15">
        <f>BA131</f>
        <v/>
      </c>
      <c r="AY132" s="15">
        <f>MIN(AW132,AX132*(1+M132))</f>
        <v/>
      </c>
      <c r="AZ132" s="15">
        <f>AW132-AY132</f>
        <v/>
      </c>
      <c r="BA132" s="15">
        <f>AX132*(1+M132)-AY132</f>
        <v/>
      </c>
      <c r="BB132" s="15">
        <f>V132*healthcare!$B$5*Q132</f>
        <v/>
      </c>
      <c r="BC132" s="12">
        <f>(1-V132)*((B132&lt;65)+(C132&lt;65))</f>
        <v/>
      </c>
      <c r="BD132" s="12">
        <f>COUNTIF(household!$C$16:$C$23,"&gt;="&amp;A132)</f>
        <v/>
      </c>
      <c r="BE132" s="15">
        <f>(BC132*healthcare!$B$2+IF(BC132&gt;0,BD132,0)*healthcare!$B$3)*12*Q132</f>
        <v/>
      </c>
      <c r="BF132" s="15">
        <f>IF(BC132&gt;0,(BC132+BD132)*healthcare!$B$4*Q132,0)</f>
        <v/>
      </c>
      <c r="BG132" s="12">
        <f>(B132&gt;=65)+(C132&gt;=65)</f>
        <v/>
      </c>
      <c r="BH132" s="15">
        <f>BG132*(healthcare!$B$6+healthcare!$B$7+healthcare!$B$8)*12*Q132</f>
        <v/>
      </c>
      <c r="BI132" s="15">
        <f>BG132*healthcare!$B$9*Q132</f>
        <v/>
      </c>
      <c r="BJ132" s="15">
        <f>BG132*12*O132*SUMPRODUCT((DK130&gt;tax_tables!$Q$5:$Q$9*P132)*tax_tables!$T$5:$T$9)</f>
        <v/>
      </c>
      <c r="BK132" s="12">
        <f>AND(B132&gt;=$B$51,B132&lt;$B$51+$B$52)*1+AND(C132&gt;=$B$53,C132&lt;$B$53+$B$54)*1</f>
        <v/>
      </c>
      <c r="BL132" s="15">
        <f>BK132*$B$55*S132</f>
        <v/>
      </c>
      <c r="BM132" s="15">
        <f>BB132+BE132+BF132+BH132+BI132+BJ132+BL132</f>
        <v/>
      </c>
      <c r="BN132" s="15">
        <f>BP131</f>
        <v/>
      </c>
      <c r="BO132" s="15">
        <f>IF(V132=1,0,MIN(BN132*(1+M132),BF132+BG132*(healthcare!$B$6+healthcare!$B$7)*12*Q132+BI132+BJ132+BL132))</f>
        <v/>
      </c>
      <c r="BP132" s="15">
        <f>BN132*(1+M132)-BO132+AC132-CV132</f>
        <v/>
      </c>
      <c r="BQ132" s="15">
        <f>SUMPRODUCT((1-($B$76:$B$79&gt;0)*(A132&gt;=$B$76:$B$79))*(1-(($C$76:$C$79&gt;0)*(A132&gt;=$C$76:$C$79)))*(properties!$L$3:$L$6-properties!$M$3:$M$6))*O132+SUMPRODUCT((1-($B$76:$B$79&gt;0)*(A132&gt;=$B$76:$B$79))*(($C$76:$C$79&gt;0)*(A132&gt;=$C$76:$C$79))*($D$76:$D$79-$E$76:$E$79))*O132</f>
        <v/>
      </c>
      <c r="BR132" s="15">
        <f>SUMPRODUCT((1-($B$76:$B$79&gt;0)*(A132&gt;=$B$76:$B$79))*properties!$N$3:$N$6*(A132&lt;=properties!$O$3:$O$6))</f>
        <v/>
      </c>
      <c r="BS132" s="15">
        <f>MAX(0,BQ132-BR132)</f>
        <v/>
      </c>
      <c r="BT132" s="15">
        <f>SUMPRODUCT(($B$75:$B$79=A132)*$G$75:$G$79)</f>
        <v/>
      </c>
      <c r="BU132" s="15">
        <f>SUMPRODUCT(($B$75:$B$79=A132)*$H$75:$H$79)</f>
        <v/>
      </c>
      <c r="BV132" s="15">
        <f>SUMPRODUCT(($B$75:$B$79=A132)*$I$75:$I$79)</f>
        <v/>
      </c>
      <c r="BW132" s="15">
        <f>AL132*properties!$C$2*(1+properties!$D$2)^(A132-household!$B$4+1)</f>
        <v/>
      </c>
      <c r="BX132" s="15">
        <f>SUMPRODUCT((1-($B$76:$B$79&gt;0)*(A132&gt;=$B$76:$B$79))*properties!$C$3:$C$6*(1+properties!$D$3:$D$6)^(A132-household!$B$4+1))</f>
        <v/>
      </c>
      <c r="BY132" s="15">
        <f>IF(A132&gt;=$B$31,IF(A132&gt;=$B$32,MAX(household!$B$11*12*(1-$B$28)*O132*IF(A132&gt;=$B$30,1-$B$29,1)*$B$33,0.5*household!$B$12*12*(1-$B$28)*O132*IF(A132&gt;=$B$30,1-$B$29,1)*$B$35),household!$B$11*12*(1-$B$28)*O132*IF(A132&gt;=$B$30,1-$B$29,1)*$B$33),0)</f>
        <v/>
      </c>
      <c r="BZ132" s="15">
        <f>IF(A132&gt;=$B$32,IF(A132&gt;=$B$31,MAX(household!$B$12*12*(1-$B$28)*O132*IF(A132&gt;=$B$30,1-$B$29,1)*$B$34,0.5*household!$B$11*12*(1-$B$28)*O132*IF(A132&gt;=$B$30,1-$B$29,1)*$B$36),household!$B$12*12*(1-$B$28)*O132*IF(A132&gt;=$B$30,1-$B$29,1)*$B$34),0)</f>
        <v/>
      </c>
      <c r="CA132" s="15">
        <f>IF(AND($B$43&lt;&gt;0,A132&gt;=household!$B$6+$B$44),$B$43*(1+$B$18)^(MAX(household!$B$6+$B$44,household!$B$4-1)-household!$B$4+1)*(1+$B$47*$B$18)^(A132-MAX(household!$B$6+$B$44,household!$B$4-1)),0)</f>
        <v/>
      </c>
      <c r="CB132" s="15">
        <f>IF(AND($B$45&lt;&gt;0,A132&gt;=household!$B$9+$B$46),$B$45*(1+$B$18)^(MAX(household!$B$9+$B$46,household!$B$4-1)-household!$B$4+1)*(1+$B$47*$B$18)^(A132-MAX(household!$B$9+$B$46,household!$B$4-1)),0)</f>
        <v/>
      </c>
      <c r="CC132" s="15">
        <f>DC131</f>
        <v/>
      </c>
      <c r="CD132" s="15">
        <f>DD131</f>
        <v/>
      </c>
      <c r="CE132" s="15">
        <f>$B$20*CC132</f>
        <v/>
      </c>
      <c r="CF132" s="15">
        <f>DE131</f>
        <v/>
      </c>
      <c r="CG132" s="15">
        <f>DF131</f>
        <v/>
      </c>
      <c r="CH132" s="15">
        <f>IF(B132&gt;=$B$71,MAX(0,CF132)/INDEX(tax_tables!$Z$5:$Z$53,MATCH(B132,tax_tables!$Y$5:$Y$53,0)),0)</f>
        <v/>
      </c>
      <c r="CI132" s="15">
        <f>IF(C132&gt;=$B$72,MAX(0,CG132)/INDEX(tax_tables!$Z$5:$Z$53,MATCH(C132,tax_tables!$Y$5:$Y$53,0)),0)</f>
        <v/>
      </c>
      <c r="CJ132" s="15">
        <f>DG131</f>
        <v/>
      </c>
      <c r="CK132" s="15">
        <f>IF(OR($B$59="",$B$60=""),0,IF(AND(A132&gt;=$B$59,A132&lt;=$B$60),$B$58*O132,0))</f>
        <v/>
      </c>
      <c r="CL132" s="15">
        <f>MAX(0,CF132*(1+M132)-CH132)</f>
        <v/>
      </c>
      <c r="CM132" s="15">
        <f>MAX(0,CG132*(1+M132)-CI132)</f>
        <v/>
      </c>
      <c r="CN132" s="15">
        <f>EB131-AG131</f>
        <v/>
      </c>
      <c r="CO132" s="15">
        <f>AH132+F132+CA132+CB132+BQ132+CE132+CH132+CI132+BT132+AI132+AJ132+BO132</f>
        <v/>
      </c>
      <c r="CP132" s="15">
        <f>D132+CN132-CO132</f>
        <v/>
      </c>
      <c r="CQ132" s="15">
        <f>MAX(0,MIN(CP132,CC132*(1+M132-$B$20)))</f>
        <v/>
      </c>
      <c r="CR132" s="15">
        <f>MAX(0,MIN(CP132-CQ132,CL132+CM132))</f>
        <v/>
      </c>
      <c r="CS132" s="15">
        <f>IF(CL132+CM132&gt;1,CR132*CL132/(CL132+CM132),0)</f>
        <v/>
      </c>
      <c r="CT132" s="15">
        <f>CR132-CS132</f>
        <v/>
      </c>
      <c r="CU132" s="15">
        <f>MAX(0,MIN(CP132-CQ132-CR132,CJ132*(1+M132)))</f>
        <v/>
      </c>
      <c r="CV132" s="15">
        <f>MAX(0,MIN(CP132-CQ132-CR132-CU132,BN132*(1+M132)-BO132+AC132))</f>
        <v/>
      </c>
      <c r="CW132" s="15">
        <f>MAX(0,-CP132)</f>
        <v/>
      </c>
      <c r="CX132" s="15">
        <f>MIN(CK132,CL132-CS132+CM132-CT132)</f>
        <v/>
      </c>
      <c r="CY132" s="15">
        <f>IF(CL132-CS132+CM132-CT132&gt;1,CX132*(CL132-CS132)/(CL132-CS132+CM132-CT132),0)</f>
        <v/>
      </c>
      <c r="CZ132" s="15">
        <f>CX132-CY132</f>
        <v/>
      </c>
      <c r="DA132" s="22">
        <f>IF(CC132&gt;0,MAX(0,1-CD132/CC132),0)</f>
        <v/>
      </c>
      <c r="DB132" s="15">
        <f>CQ132*DA132</f>
        <v/>
      </c>
      <c r="DC132" s="15">
        <f>CC132*(1+M132-$B$20)-CQ132+CW132</f>
        <v/>
      </c>
      <c r="DD132" s="15">
        <f>CD132-(CQ132-DB132)+CW132</f>
        <v/>
      </c>
      <c r="DE132" s="15">
        <f>CF132*(1+M132)-CH132-CS132-CY132+Y132+AA132</f>
        <v/>
      </c>
      <c r="DF132" s="15">
        <f>CG132*(1+M132)-CI132-CT132-CZ132+Z132+AB132</f>
        <v/>
      </c>
      <c r="DG132" s="15">
        <f>CJ132*(1+M132)-CU132+CX132</f>
        <v/>
      </c>
      <c r="DH132" s="15">
        <f>AE132+CR132+CH132+CI132+CX132+CV132+BS132+AI132+CA132+CB132</f>
        <v/>
      </c>
      <c r="DI132" s="15">
        <f>CE132+DB132+BU132</f>
        <v/>
      </c>
      <c r="DJ132" s="15">
        <f>IF((DH132+DI132+0.5*F132)&lt;=tax_tables!$B$14,0,IF((DH132+DI132+0.5*F132)&lt;=tax_tables!$B$15,MIN(0.5*F132,0.5*((DH132+DI132+0.5*F132)-tax_tables!$B$14)),MIN(0.85*F132,0.85*((DH132+DI132+0.5*F132)-tax_tables!$B$15)+MIN(0.5*F132,tax_tables!$B$15-tax_tables!$B$14))))</f>
        <v/>
      </c>
      <c r="DK132" s="15">
        <f>DH132+DI132+DJ132</f>
        <v/>
      </c>
      <c r="DL132" s="12">
        <f>(B132&gt;=65)+(C132&gt;=65)</f>
        <v/>
      </c>
      <c r="DM132" s="15">
        <f>(tax_tables!$B$5+tax_tables!$B$6*DL132)*P132</f>
        <v/>
      </c>
      <c r="DN132" s="15">
        <f>IF(AND(A132&gt;=tax_tables!$B$8,A132&lt;=tax_tables!$B$9),DL132*MAX(0,tax_tables!$B$7-tax_tables!$B$11*MAX(0,DK132-tax_tables!$B$10)),0)</f>
        <v/>
      </c>
      <c r="DO132" s="15">
        <f>IFERROR(MAX(tax_tables!$B$16,INDEX(tax_tables!$W$5:$W$8,MATCH(A132,tax_tables!$V$5:$V$8,0))-tax_tables!$B$18*MAX(0,DK132-tax_tables!$B$17*1.01^(A132-tax_tables!$B$4))),tax_tables!$B$16)</f>
        <v/>
      </c>
      <c r="DP132" s="15">
        <f>MAX(0,BM132-BB132-tax_tables!$B$23*DK132)</f>
        <v/>
      </c>
      <c r="DQ132" s="15">
        <f>AN132+MIN(DO132,DY131+DZ131+EA131+AL132*properties!$H$2*O132)+DP132+$B$61*O132</f>
        <v/>
      </c>
      <c r="DR132" s="15">
        <f>MAX(DM132,DQ132)</f>
        <v/>
      </c>
      <c r="DS132" s="15">
        <f>MAX(0,DH132+DJ132-DR132-DN132)</f>
        <v/>
      </c>
      <c r="DT132" s="15">
        <f>MAX(0,DI132-MAX(0,DR132+DN132-DH132-DJ132))</f>
        <v/>
      </c>
      <c r="DU132" s="15">
        <f>SUMPRODUCT((DS132&gt;tax_tables!$E$5:$E$16*P132)*(DS132-tax_tables!$E$5:$E$16*P132)*tax_tables!$G$5:$G$16)+SUMPRODUCT(((DS132+DT132)&gt;tax_tables!$I$5:$I$16*P132)*((DS132+DT132)-tax_tables!$I$5:$I$16*P132)*tax_tables!$K$5:$K$16)-SUMPRODUCT((DS132&gt;tax_tables!$I$5:$I$16*P132)*(DS132-tax_tables!$I$5:$I$16*P132)*tax_tables!$K$5:$K$16)+tax_tables!$B$19*BV132+tax_tables!$B$12*MIN(CE132+DB132+BS132+BU132,MAX(0,DK132-tax_tables!$B$13))</f>
        <v/>
      </c>
      <c r="DV132" s="12">
        <f>IF($B$39="",0,IF(A132&gt;=$B$39,1,0))</f>
        <v/>
      </c>
      <c r="DW132" s="15">
        <f>IF(B132+0.5&gt;=tax_tables!$B$30,MIN(CS132+CH132+CY132+CA132,tax_tables!$B$29),0)+IF(C132+0.5&gt;=tax_tables!$B$30,MIN(CT132+CI132+CZ132+CB132,tax_tables!$B$29),0)</f>
        <v/>
      </c>
      <c r="DX132" s="15">
        <f>MAX(0,DK132-tax_tables!$B$28*DJ132-DW132-tax_tables!$B$26*IF(tax_tables!$B$27=1,P132,1))</f>
        <v/>
      </c>
      <c r="DY132" s="15">
        <f>(1-DV132)*SUMPRODUCT((DX132&gt;tax_tables!$M$5:$M$16*IF(tax_tables!$B$27=1,P132,1))*(DX132-tax_tables!$M$5:$M$16*IF(tax_tables!$B$27=1,P132,1))*tax_tables!$O$5:$O$16)</f>
        <v/>
      </c>
      <c r="DZ132" s="15">
        <f>(1-DV132)*tax_tables!$B$31*DX132</f>
        <v/>
      </c>
      <c r="EA132" s="15">
        <f>DV132*$B$40*MAX(0,DK132-DJ132)</f>
        <v/>
      </c>
      <c r="EB132" s="15">
        <f>DU132+DY132+DZ132+EA132</f>
        <v/>
      </c>
      <c r="EC132" s="15">
        <f>DC132+DE132+DF132+DG132+BP132</f>
        <v/>
      </c>
      <c r="ED132" s="15">
        <f>EC132+BW132-AP132+BX132</f>
        <v/>
      </c>
    </row>
    <row r="133">
      <c r="A133" s="12">
        <f>A132+1</f>
        <v/>
      </c>
      <c r="B133" s="12">
        <f>A133-household!$B$6</f>
        <v/>
      </c>
      <c r="C133" s="12">
        <f>A133-household!$B$9</f>
        <v/>
      </c>
      <c r="D133" s="15">
        <f>AS133+AT133+AU133+AV133+AZ133+BM133+AK133</f>
        <v/>
      </c>
      <c r="E133" s="15">
        <f>CN133+AG133+AF133</f>
        <v/>
      </c>
      <c r="F133" s="15">
        <f>BY133+BZ133</f>
        <v/>
      </c>
      <c r="G133" s="15">
        <f>CQ133+CR133+CU133+CH133+CI133+CE133-CW133+CV133+BO133</f>
        <v/>
      </c>
      <c r="H133" s="22">
        <f>IF(CC133+CF133+CG133+CJ133+BN133&lt;=0,"",G133/(CC133+CF133+CG133+CJ133+BN133))</f>
        <v/>
      </c>
      <c r="I133" s="23">
        <f>EC133/O133</f>
        <v/>
      </c>
      <c r="J133" s="23">
        <f>ED133/O133</f>
        <v/>
      </c>
      <c r="K133" s="15">
        <f>MAX(0,CP133-CQ133-CR133-CU133-CV133)</f>
        <v/>
      </c>
      <c r="L133" s="11" t="n"/>
      <c r="M133" s="22">
        <f>IF(L133="",$B$19,L133)</f>
        <v/>
      </c>
      <c r="N133" s="14" t="n"/>
      <c r="O133" s="13">
        <f>(1+$B$18)^(A133-household!$B$4+1)</f>
        <v/>
      </c>
      <c r="P133" s="13">
        <f>(1+$B$18)^(A133-tax_tables!$B$4)</f>
        <v/>
      </c>
      <c r="Q133" s="13">
        <f>(1+$B$21)^(A133-household!$B$4+1)</f>
        <v/>
      </c>
      <c r="R133" s="13">
        <f>(1+$B$22)^(A133-household!$B$4+1)</f>
        <v/>
      </c>
      <c r="S133" s="13">
        <f>(1+$B$23)^(A133-household!$B$4+1)</f>
        <v/>
      </c>
      <c r="T133" s="12">
        <f>IF(A133&lt;$B$5,1,0)</f>
        <v/>
      </c>
      <c r="U133" s="12">
        <f>IF(A133&lt;$B$6,1,0)</f>
        <v/>
      </c>
      <c r="V133" s="12">
        <f>IF(T133+U133&gt;0,1,0)</f>
        <v/>
      </c>
      <c r="W133" s="15">
        <f>T133*$B$7*O133+SUMPRODUCT(($B$83:$B$88=A133)*($D$83:$D$88="Wages: person 1")*$C$83:$C$88)*O133</f>
        <v/>
      </c>
      <c r="X133" s="15">
        <f>U133*$B$8*O133+SUMPRODUCT(($B$83:$B$88=A133)*($D$83:$D$88="Wages: person 2")*$C$83:$C$88)*O133</f>
        <v/>
      </c>
      <c r="Y133" s="15">
        <f>T133*$B$9*O133</f>
        <v/>
      </c>
      <c r="Z133" s="15">
        <f>U133*$B$10*O133</f>
        <v/>
      </c>
      <c r="AA133" s="15">
        <f>T133*$B$11*O133</f>
        <v/>
      </c>
      <c r="AB133" s="15">
        <f>U133*$B$12*O133</f>
        <v/>
      </c>
      <c r="AC133" s="15">
        <f>V133*$B$13*O133</f>
        <v/>
      </c>
      <c r="AD133" s="15">
        <f>W133+X133</f>
        <v/>
      </c>
      <c r="AE133" s="15">
        <f>AD133-Y133-Z133-AC133</f>
        <v/>
      </c>
      <c r="AF133" s="15">
        <f>0.062*MIN(W133,tax_tables!$B$21*P133)+0.062*MIN(X133,tax_tables!$B$21*P133)+0.0145*AD133+0.009*MAX(0,AD133-tax_tables!$B$22)</f>
        <v/>
      </c>
      <c r="AG133" s="15">
        <f>$B$14*AE133</f>
        <v/>
      </c>
      <c r="AH133" s="15">
        <f>AD133-Y133-Z133-AC133-AF133-AG133</f>
        <v/>
      </c>
      <c r="AI133" s="15">
        <f>SUMPRODUCT(($B$83:$B$88=A133)*($D$83:$D$88="Other taxable income")*$C$83:$C$88)*O133</f>
        <v/>
      </c>
      <c r="AJ133" s="15">
        <f>SUMPRODUCT(($B$83:$B$88=A133)*($D$83:$D$88="Tax-free money in")*$C$83:$C$88)*O133</f>
        <v/>
      </c>
      <c r="AK133" s="15">
        <f>SUMPRODUCT(($B$83:$B$88=A133)*($D$83:$D$88="Expense")*$C$83:$C$88)*O133</f>
        <v/>
      </c>
      <c r="AL133" s="12">
        <f>IF(OR($B$75="",A133&lt;$B$75),1,0)</f>
        <v/>
      </c>
      <c r="AM133" s="15">
        <f>AP132</f>
        <v/>
      </c>
      <c r="AN133" s="15">
        <f>AL133*AM133*properties!$J$2</f>
        <v/>
      </c>
      <c r="AO133" s="15">
        <f>AL133*MIN(properties!$K$2,AM133+AN133)</f>
        <v/>
      </c>
      <c r="AP133" s="15">
        <f>AL133*(AM133+AN133-AO133)</f>
        <v/>
      </c>
      <c r="AQ133" s="15">
        <f>AL133*properties!$G$2*O133</f>
        <v/>
      </c>
      <c r="AR133" s="15">
        <f>(1-AL133)*$E$75*O133</f>
        <v/>
      </c>
      <c r="AS133" s="15">
        <f>AO133+AQ133+AR133</f>
        <v/>
      </c>
      <c r="AT133" s="15">
        <f>SUMIF(budget!$A$2:$A$300,"household",budget!$F$2:$F$300)*O133*IF(N133="",1,N133)</f>
        <v/>
      </c>
      <c r="AU133" s="15">
        <f>SUMPRODUCT((other_budget!$C$2:$C$30&lt;=A133)*(other_budget!$D$2:$D$30&gt;=A133)*other_budget!$B$2:$B$30)*O133</f>
        <v/>
      </c>
      <c r="AV133" s="15">
        <f>SUMPRODUCT((kids_budget!$D$2:$D$40&lt;=A133)*(kids_budget!$E$2:$E$40&gt;=A133)*(kids_budget!$G$2:$G$40&lt;&gt;"college_funds")*kids_budget!$C$2:$C$40*((kids_budget!$F$2:$F$40="college")*R133+(kids_budget!$F$2:$F$40&lt;&gt;"college")*O133))</f>
        <v/>
      </c>
      <c r="AW133" s="15">
        <f>SUMPRODUCT((kids_budget!$D$2:$D$40&lt;=A133)*(kids_budget!$E$2:$E$40&gt;=A133)*(kids_budget!$G$2:$G$40="college_funds")*kids_budget!$C$2:$C$40*((kids_budget!$F$2:$F$40="college")*R133+(kids_budget!$F$2:$F$40&lt;&gt;"college")*O133))</f>
        <v/>
      </c>
      <c r="AX133" s="15">
        <f>BA132</f>
        <v/>
      </c>
      <c r="AY133" s="15">
        <f>MIN(AW133,AX133*(1+M133))</f>
        <v/>
      </c>
      <c r="AZ133" s="15">
        <f>AW133-AY133</f>
        <v/>
      </c>
      <c r="BA133" s="15">
        <f>AX133*(1+M133)-AY133</f>
        <v/>
      </c>
      <c r="BB133" s="15">
        <f>V133*healthcare!$B$5*Q133</f>
        <v/>
      </c>
      <c r="BC133" s="12">
        <f>(1-V133)*((B133&lt;65)+(C133&lt;65))</f>
        <v/>
      </c>
      <c r="BD133" s="12">
        <f>COUNTIF(household!$C$16:$C$23,"&gt;="&amp;A133)</f>
        <v/>
      </c>
      <c r="BE133" s="15">
        <f>(BC133*healthcare!$B$2+IF(BC133&gt;0,BD133,0)*healthcare!$B$3)*12*Q133</f>
        <v/>
      </c>
      <c r="BF133" s="15">
        <f>IF(BC133&gt;0,(BC133+BD133)*healthcare!$B$4*Q133,0)</f>
        <v/>
      </c>
      <c r="BG133" s="12">
        <f>(B133&gt;=65)+(C133&gt;=65)</f>
        <v/>
      </c>
      <c r="BH133" s="15">
        <f>BG133*(healthcare!$B$6+healthcare!$B$7+healthcare!$B$8)*12*Q133</f>
        <v/>
      </c>
      <c r="BI133" s="15">
        <f>BG133*healthcare!$B$9*Q133</f>
        <v/>
      </c>
      <c r="BJ133" s="15">
        <f>BG133*12*O133*SUMPRODUCT((DK131&gt;tax_tables!$Q$5:$Q$9*P133)*tax_tables!$T$5:$T$9)</f>
        <v/>
      </c>
      <c r="BK133" s="12">
        <f>AND(B133&gt;=$B$51,B133&lt;$B$51+$B$52)*1+AND(C133&gt;=$B$53,C133&lt;$B$53+$B$54)*1</f>
        <v/>
      </c>
      <c r="BL133" s="15">
        <f>BK133*$B$55*S133</f>
        <v/>
      </c>
      <c r="BM133" s="15">
        <f>BB133+BE133+BF133+BH133+BI133+BJ133+BL133</f>
        <v/>
      </c>
      <c r="BN133" s="15">
        <f>BP132</f>
        <v/>
      </c>
      <c r="BO133" s="15">
        <f>IF(V133=1,0,MIN(BN133*(1+M133),BF133+BG133*(healthcare!$B$6+healthcare!$B$7)*12*Q133+BI133+BJ133+BL133))</f>
        <v/>
      </c>
      <c r="BP133" s="15">
        <f>BN133*(1+M133)-BO133+AC133-CV133</f>
        <v/>
      </c>
      <c r="BQ133" s="15">
        <f>SUMPRODUCT((1-($B$76:$B$79&gt;0)*(A133&gt;=$B$76:$B$79))*(1-(($C$76:$C$79&gt;0)*(A133&gt;=$C$76:$C$79)))*(properties!$L$3:$L$6-properties!$M$3:$M$6))*O133+SUMPRODUCT((1-($B$76:$B$79&gt;0)*(A133&gt;=$B$76:$B$79))*(($C$76:$C$79&gt;0)*(A133&gt;=$C$76:$C$79))*($D$76:$D$79-$E$76:$E$79))*O133</f>
        <v/>
      </c>
      <c r="BR133" s="15">
        <f>SUMPRODUCT((1-($B$76:$B$79&gt;0)*(A133&gt;=$B$76:$B$79))*properties!$N$3:$N$6*(A133&lt;=properties!$O$3:$O$6))</f>
        <v/>
      </c>
      <c r="BS133" s="15">
        <f>MAX(0,BQ133-BR133)</f>
        <v/>
      </c>
      <c r="BT133" s="15">
        <f>SUMPRODUCT(($B$75:$B$79=A133)*$G$75:$G$79)</f>
        <v/>
      </c>
      <c r="BU133" s="15">
        <f>SUMPRODUCT(($B$75:$B$79=A133)*$H$75:$H$79)</f>
        <v/>
      </c>
      <c r="BV133" s="15">
        <f>SUMPRODUCT(($B$75:$B$79=A133)*$I$75:$I$79)</f>
        <v/>
      </c>
      <c r="BW133" s="15">
        <f>AL133*properties!$C$2*(1+properties!$D$2)^(A133-household!$B$4+1)</f>
        <v/>
      </c>
      <c r="BX133" s="15">
        <f>SUMPRODUCT((1-($B$76:$B$79&gt;0)*(A133&gt;=$B$76:$B$79))*properties!$C$3:$C$6*(1+properties!$D$3:$D$6)^(A133-household!$B$4+1))</f>
        <v/>
      </c>
      <c r="BY133" s="15">
        <f>IF(A133&gt;=$B$31,IF(A133&gt;=$B$32,MAX(household!$B$11*12*(1-$B$28)*O133*IF(A133&gt;=$B$30,1-$B$29,1)*$B$33,0.5*household!$B$12*12*(1-$B$28)*O133*IF(A133&gt;=$B$30,1-$B$29,1)*$B$35),household!$B$11*12*(1-$B$28)*O133*IF(A133&gt;=$B$30,1-$B$29,1)*$B$33),0)</f>
        <v/>
      </c>
      <c r="BZ133" s="15">
        <f>IF(A133&gt;=$B$32,IF(A133&gt;=$B$31,MAX(household!$B$12*12*(1-$B$28)*O133*IF(A133&gt;=$B$30,1-$B$29,1)*$B$34,0.5*household!$B$11*12*(1-$B$28)*O133*IF(A133&gt;=$B$30,1-$B$29,1)*$B$36),household!$B$12*12*(1-$B$28)*O133*IF(A133&gt;=$B$30,1-$B$29,1)*$B$34),0)</f>
        <v/>
      </c>
      <c r="CA133" s="15">
        <f>IF(AND($B$43&lt;&gt;0,A133&gt;=household!$B$6+$B$44),$B$43*(1+$B$18)^(MAX(household!$B$6+$B$44,household!$B$4-1)-household!$B$4+1)*(1+$B$47*$B$18)^(A133-MAX(household!$B$6+$B$44,household!$B$4-1)),0)</f>
        <v/>
      </c>
      <c r="CB133" s="15">
        <f>IF(AND($B$45&lt;&gt;0,A133&gt;=household!$B$9+$B$46),$B$45*(1+$B$18)^(MAX(household!$B$9+$B$46,household!$B$4-1)-household!$B$4+1)*(1+$B$47*$B$18)^(A133-MAX(household!$B$9+$B$46,household!$B$4-1)),0)</f>
        <v/>
      </c>
      <c r="CC133" s="15">
        <f>DC132</f>
        <v/>
      </c>
      <c r="CD133" s="15">
        <f>DD132</f>
        <v/>
      </c>
      <c r="CE133" s="15">
        <f>$B$20*CC133</f>
        <v/>
      </c>
      <c r="CF133" s="15">
        <f>DE132</f>
        <v/>
      </c>
      <c r="CG133" s="15">
        <f>DF132</f>
        <v/>
      </c>
      <c r="CH133" s="15">
        <f>IF(B133&gt;=$B$71,MAX(0,CF133)/INDEX(tax_tables!$Z$5:$Z$53,MATCH(B133,tax_tables!$Y$5:$Y$53,0)),0)</f>
        <v/>
      </c>
      <c r="CI133" s="15">
        <f>IF(C133&gt;=$B$72,MAX(0,CG133)/INDEX(tax_tables!$Z$5:$Z$53,MATCH(C133,tax_tables!$Y$5:$Y$53,0)),0)</f>
        <v/>
      </c>
      <c r="CJ133" s="15">
        <f>DG132</f>
        <v/>
      </c>
      <c r="CK133" s="15">
        <f>IF(OR($B$59="",$B$60=""),0,IF(AND(A133&gt;=$B$59,A133&lt;=$B$60),$B$58*O133,0))</f>
        <v/>
      </c>
      <c r="CL133" s="15">
        <f>MAX(0,CF133*(1+M133)-CH133)</f>
        <v/>
      </c>
      <c r="CM133" s="15">
        <f>MAX(0,CG133*(1+M133)-CI133)</f>
        <v/>
      </c>
      <c r="CN133" s="15">
        <f>EB132-AG132</f>
        <v/>
      </c>
      <c r="CO133" s="15">
        <f>AH133+F133+CA133+CB133+BQ133+CE133+CH133+CI133+BT133+AI133+AJ133+BO133</f>
        <v/>
      </c>
      <c r="CP133" s="15">
        <f>D133+CN133-CO133</f>
        <v/>
      </c>
      <c r="CQ133" s="15">
        <f>MAX(0,MIN(CP133,CC133*(1+M133-$B$20)))</f>
        <v/>
      </c>
      <c r="CR133" s="15">
        <f>MAX(0,MIN(CP133-CQ133,CL133+CM133))</f>
        <v/>
      </c>
      <c r="CS133" s="15">
        <f>IF(CL133+CM133&gt;1,CR133*CL133/(CL133+CM133),0)</f>
        <v/>
      </c>
      <c r="CT133" s="15">
        <f>CR133-CS133</f>
        <v/>
      </c>
      <c r="CU133" s="15">
        <f>MAX(0,MIN(CP133-CQ133-CR133,CJ133*(1+M133)))</f>
        <v/>
      </c>
      <c r="CV133" s="15">
        <f>MAX(0,MIN(CP133-CQ133-CR133-CU133,BN133*(1+M133)-BO133+AC133))</f>
        <v/>
      </c>
      <c r="CW133" s="15">
        <f>MAX(0,-CP133)</f>
        <v/>
      </c>
      <c r="CX133" s="15">
        <f>MIN(CK133,CL133-CS133+CM133-CT133)</f>
        <v/>
      </c>
      <c r="CY133" s="15">
        <f>IF(CL133-CS133+CM133-CT133&gt;1,CX133*(CL133-CS133)/(CL133-CS133+CM133-CT133),0)</f>
        <v/>
      </c>
      <c r="CZ133" s="15">
        <f>CX133-CY133</f>
        <v/>
      </c>
      <c r="DA133" s="22">
        <f>IF(CC133&gt;0,MAX(0,1-CD133/CC133),0)</f>
        <v/>
      </c>
      <c r="DB133" s="15">
        <f>CQ133*DA133</f>
        <v/>
      </c>
      <c r="DC133" s="15">
        <f>CC133*(1+M133-$B$20)-CQ133+CW133</f>
        <v/>
      </c>
      <c r="DD133" s="15">
        <f>CD133-(CQ133-DB133)+CW133</f>
        <v/>
      </c>
      <c r="DE133" s="15">
        <f>CF133*(1+M133)-CH133-CS133-CY133+Y133+AA133</f>
        <v/>
      </c>
      <c r="DF133" s="15">
        <f>CG133*(1+M133)-CI133-CT133-CZ133+Z133+AB133</f>
        <v/>
      </c>
      <c r="DG133" s="15">
        <f>CJ133*(1+M133)-CU133+CX133</f>
        <v/>
      </c>
      <c r="DH133" s="15">
        <f>AE133+CR133+CH133+CI133+CX133+CV133+BS133+AI133+CA133+CB133</f>
        <v/>
      </c>
      <c r="DI133" s="15">
        <f>CE133+DB133+BU133</f>
        <v/>
      </c>
      <c r="DJ133" s="15">
        <f>IF((DH133+DI133+0.5*F133)&lt;=tax_tables!$B$14,0,IF((DH133+DI133+0.5*F133)&lt;=tax_tables!$B$15,MIN(0.5*F133,0.5*((DH133+DI133+0.5*F133)-tax_tables!$B$14)),MIN(0.85*F133,0.85*((DH133+DI133+0.5*F133)-tax_tables!$B$15)+MIN(0.5*F133,tax_tables!$B$15-tax_tables!$B$14))))</f>
        <v/>
      </c>
      <c r="DK133" s="15">
        <f>DH133+DI133+DJ133</f>
        <v/>
      </c>
      <c r="DL133" s="12">
        <f>(B133&gt;=65)+(C133&gt;=65)</f>
        <v/>
      </c>
      <c r="DM133" s="15">
        <f>(tax_tables!$B$5+tax_tables!$B$6*DL133)*P133</f>
        <v/>
      </c>
      <c r="DN133" s="15">
        <f>IF(AND(A133&gt;=tax_tables!$B$8,A133&lt;=tax_tables!$B$9),DL133*MAX(0,tax_tables!$B$7-tax_tables!$B$11*MAX(0,DK133-tax_tables!$B$10)),0)</f>
        <v/>
      </c>
      <c r="DO133" s="15">
        <f>IFERROR(MAX(tax_tables!$B$16,INDEX(tax_tables!$W$5:$W$8,MATCH(A133,tax_tables!$V$5:$V$8,0))-tax_tables!$B$18*MAX(0,DK133-tax_tables!$B$17*1.01^(A133-tax_tables!$B$4))),tax_tables!$B$16)</f>
        <v/>
      </c>
      <c r="DP133" s="15">
        <f>MAX(0,BM133-BB133-tax_tables!$B$23*DK133)</f>
        <v/>
      </c>
      <c r="DQ133" s="15">
        <f>AN133+MIN(DO133,DY132+DZ132+EA132+AL133*properties!$H$2*O133)+DP133+$B$61*O133</f>
        <v/>
      </c>
      <c r="DR133" s="15">
        <f>MAX(DM133,DQ133)</f>
        <v/>
      </c>
      <c r="DS133" s="15">
        <f>MAX(0,DH133+DJ133-DR133-DN133)</f>
        <v/>
      </c>
      <c r="DT133" s="15">
        <f>MAX(0,DI133-MAX(0,DR133+DN133-DH133-DJ133))</f>
        <v/>
      </c>
      <c r="DU133" s="15">
        <f>SUMPRODUCT((DS133&gt;tax_tables!$E$5:$E$16*P133)*(DS133-tax_tables!$E$5:$E$16*P133)*tax_tables!$G$5:$G$16)+SUMPRODUCT(((DS133+DT133)&gt;tax_tables!$I$5:$I$16*P133)*((DS133+DT133)-tax_tables!$I$5:$I$16*P133)*tax_tables!$K$5:$K$16)-SUMPRODUCT((DS133&gt;tax_tables!$I$5:$I$16*P133)*(DS133-tax_tables!$I$5:$I$16*P133)*tax_tables!$K$5:$K$16)+tax_tables!$B$19*BV133+tax_tables!$B$12*MIN(CE133+DB133+BS133+BU133,MAX(0,DK133-tax_tables!$B$13))</f>
        <v/>
      </c>
      <c r="DV133" s="12">
        <f>IF($B$39="",0,IF(A133&gt;=$B$39,1,0))</f>
        <v/>
      </c>
      <c r="DW133" s="15">
        <f>IF(B133+0.5&gt;=tax_tables!$B$30,MIN(CS133+CH133+CY133+CA133,tax_tables!$B$29),0)+IF(C133+0.5&gt;=tax_tables!$B$30,MIN(CT133+CI133+CZ133+CB133,tax_tables!$B$29),0)</f>
        <v/>
      </c>
      <c r="DX133" s="15">
        <f>MAX(0,DK133-tax_tables!$B$28*DJ133-DW133-tax_tables!$B$26*IF(tax_tables!$B$27=1,P133,1))</f>
        <v/>
      </c>
      <c r="DY133" s="15">
        <f>(1-DV133)*SUMPRODUCT((DX133&gt;tax_tables!$M$5:$M$16*IF(tax_tables!$B$27=1,P133,1))*(DX133-tax_tables!$M$5:$M$16*IF(tax_tables!$B$27=1,P133,1))*tax_tables!$O$5:$O$16)</f>
        <v/>
      </c>
      <c r="DZ133" s="15">
        <f>(1-DV133)*tax_tables!$B$31*DX133</f>
        <v/>
      </c>
      <c r="EA133" s="15">
        <f>DV133*$B$40*MAX(0,DK133-DJ133)</f>
        <v/>
      </c>
      <c r="EB133" s="15">
        <f>DU133+DY133+DZ133+EA133</f>
        <v/>
      </c>
      <c r="EC133" s="15">
        <f>DC133+DE133+DF133+DG133+BP133</f>
        <v/>
      </c>
      <c r="ED133" s="15">
        <f>EC133+BW133-AP133+BX133</f>
        <v/>
      </c>
    </row>
    <row r="134">
      <c r="A134" s="12">
        <f>A133+1</f>
        <v/>
      </c>
      <c r="B134" s="12">
        <f>A134-household!$B$6</f>
        <v/>
      </c>
      <c r="C134" s="12">
        <f>A134-household!$B$9</f>
        <v/>
      </c>
      <c r="D134" s="15">
        <f>AS134+AT134+AU134+AV134+AZ134+BM134+AK134</f>
        <v/>
      </c>
      <c r="E134" s="15">
        <f>CN134+AG134+AF134</f>
        <v/>
      </c>
      <c r="F134" s="15">
        <f>BY134+BZ134</f>
        <v/>
      </c>
      <c r="G134" s="15">
        <f>CQ134+CR134+CU134+CH134+CI134+CE134-CW134+CV134+BO134</f>
        <v/>
      </c>
      <c r="H134" s="22">
        <f>IF(CC134+CF134+CG134+CJ134+BN134&lt;=0,"",G134/(CC134+CF134+CG134+CJ134+BN134))</f>
        <v/>
      </c>
      <c r="I134" s="23">
        <f>EC134/O134</f>
        <v/>
      </c>
      <c r="J134" s="23">
        <f>ED134/O134</f>
        <v/>
      </c>
      <c r="K134" s="15">
        <f>MAX(0,CP134-CQ134-CR134-CU134-CV134)</f>
        <v/>
      </c>
      <c r="L134" s="11" t="n"/>
      <c r="M134" s="22">
        <f>IF(L134="",$B$19,L134)</f>
        <v/>
      </c>
      <c r="N134" s="14" t="n"/>
      <c r="O134" s="13">
        <f>(1+$B$18)^(A134-household!$B$4+1)</f>
        <v/>
      </c>
      <c r="P134" s="13">
        <f>(1+$B$18)^(A134-tax_tables!$B$4)</f>
        <v/>
      </c>
      <c r="Q134" s="13">
        <f>(1+$B$21)^(A134-household!$B$4+1)</f>
        <v/>
      </c>
      <c r="R134" s="13">
        <f>(1+$B$22)^(A134-household!$B$4+1)</f>
        <v/>
      </c>
      <c r="S134" s="13">
        <f>(1+$B$23)^(A134-household!$B$4+1)</f>
        <v/>
      </c>
      <c r="T134" s="12">
        <f>IF(A134&lt;$B$5,1,0)</f>
        <v/>
      </c>
      <c r="U134" s="12">
        <f>IF(A134&lt;$B$6,1,0)</f>
        <v/>
      </c>
      <c r="V134" s="12">
        <f>IF(T134+U134&gt;0,1,0)</f>
        <v/>
      </c>
      <c r="W134" s="15">
        <f>T134*$B$7*O134+SUMPRODUCT(($B$83:$B$88=A134)*($D$83:$D$88="Wages: person 1")*$C$83:$C$88)*O134</f>
        <v/>
      </c>
      <c r="X134" s="15">
        <f>U134*$B$8*O134+SUMPRODUCT(($B$83:$B$88=A134)*($D$83:$D$88="Wages: person 2")*$C$83:$C$88)*O134</f>
        <v/>
      </c>
      <c r="Y134" s="15">
        <f>T134*$B$9*O134</f>
        <v/>
      </c>
      <c r="Z134" s="15">
        <f>U134*$B$10*O134</f>
        <v/>
      </c>
      <c r="AA134" s="15">
        <f>T134*$B$11*O134</f>
        <v/>
      </c>
      <c r="AB134" s="15">
        <f>U134*$B$12*O134</f>
        <v/>
      </c>
      <c r="AC134" s="15">
        <f>V134*$B$13*O134</f>
        <v/>
      </c>
      <c r="AD134" s="15">
        <f>W134+X134</f>
        <v/>
      </c>
      <c r="AE134" s="15">
        <f>AD134-Y134-Z134-AC134</f>
        <v/>
      </c>
      <c r="AF134" s="15">
        <f>0.062*MIN(W134,tax_tables!$B$21*P134)+0.062*MIN(X134,tax_tables!$B$21*P134)+0.0145*AD134+0.009*MAX(0,AD134-tax_tables!$B$22)</f>
        <v/>
      </c>
      <c r="AG134" s="15">
        <f>$B$14*AE134</f>
        <v/>
      </c>
      <c r="AH134" s="15">
        <f>AD134-Y134-Z134-AC134-AF134-AG134</f>
        <v/>
      </c>
      <c r="AI134" s="15">
        <f>SUMPRODUCT(($B$83:$B$88=A134)*($D$83:$D$88="Other taxable income")*$C$83:$C$88)*O134</f>
        <v/>
      </c>
      <c r="AJ134" s="15">
        <f>SUMPRODUCT(($B$83:$B$88=A134)*($D$83:$D$88="Tax-free money in")*$C$83:$C$88)*O134</f>
        <v/>
      </c>
      <c r="AK134" s="15">
        <f>SUMPRODUCT(($B$83:$B$88=A134)*($D$83:$D$88="Expense")*$C$83:$C$88)*O134</f>
        <v/>
      </c>
      <c r="AL134" s="12">
        <f>IF(OR($B$75="",A134&lt;$B$75),1,0)</f>
        <v/>
      </c>
      <c r="AM134" s="15">
        <f>AP133</f>
        <v/>
      </c>
      <c r="AN134" s="15">
        <f>AL134*AM134*properties!$J$2</f>
        <v/>
      </c>
      <c r="AO134" s="15">
        <f>AL134*MIN(properties!$K$2,AM134+AN134)</f>
        <v/>
      </c>
      <c r="AP134" s="15">
        <f>AL134*(AM134+AN134-AO134)</f>
        <v/>
      </c>
      <c r="AQ134" s="15">
        <f>AL134*properties!$G$2*O134</f>
        <v/>
      </c>
      <c r="AR134" s="15">
        <f>(1-AL134)*$E$75*O134</f>
        <v/>
      </c>
      <c r="AS134" s="15">
        <f>AO134+AQ134+AR134</f>
        <v/>
      </c>
      <c r="AT134" s="15">
        <f>SUMIF(budget!$A$2:$A$300,"household",budget!$F$2:$F$300)*O134*IF(N134="",1,N134)</f>
        <v/>
      </c>
      <c r="AU134" s="15">
        <f>SUMPRODUCT((other_budget!$C$2:$C$30&lt;=A134)*(other_budget!$D$2:$D$30&gt;=A134)*other_budget!$B$2:$B$30)*O134</f>
        <v/>
      </c>
      <c r="AV134" s="15">
        <f>SUMPRODUCT((kids_budget!$D$2:$D$40&lt;=A134)*(kids_budget!$E$2:$E$40&gt;=A134)*(kids_budget!$G$2:$G$40&lt;&gt;"college_funds")*kids_budget!$C$2:$C$40*((kids_budget!$F$2:$F$40="college")*R134+(kids_budget!$F$2:$F$40&lt;&gt;"college")*O134))</f>
        <v/>
      </c>
      <c r="AW134" s="15">
        <f>SUMPRODUCT((kids_budget!$D$2:$D$40&lt;=A134)*(kids_budget!$E$2:$E$40&gt;=A134)*(kids_budget!$G$2:$G$40="college_funds")*kids_budget!$C$2:$C$40*((kids_budget!$F$2:$F$40="college")*R134+(kids_budget!$F$2:$F$40&lt;&gt;"college")*O134))</f>
        <v/>
      </c>
      <c r="AX134" s="15">
        <f>BA133</f>
        <v/>
      </c>
      <c r="AY134" s="15">
        <f>MIN(AW134,AX134*(1+M134))</f>
        <v/>
      </c>
      <c r="AZ134" s="15">
        <f>AW134-AY134</f>
        <v/>
      </c>
      <c r="BA134" s="15">
        <f>AX134*(1+M134)-AY134</f>
        <v/>
      </c>
      <c r="BB134" s="15">
        <f>V134*healthcare!$B$5*Q134</f>
        <v/>
      </c>
      <c r="BC134" s="12">
        <f>(1-V134)*((B134&lt;65)+(C134&lt;65))</f>
        <v/>
      </c>
      <c r="BD134" s="12">
        <f>COUNTIF(household!$C$16:$C$23,"&gt;="&amp;A134)</f>
        <v/>
      </c>
      <c r="BE134" s="15">
        <f>(BC134*healthcare!$B$2+IF(BC134&gt;0,BD134,0)*healthcare!$B$3)*12*Q134</f>
        <v/>
      </c>
      <c r="BF134" s="15">
        <f>IF(BC134&gt;0,(BC134+BD134)*healthcare!$B$4*Q134,0)</f>
        <v/>
      </c>
      <c r="BG134" s="12">
        <f>(B134&gt;=65)+(C134&gt;=65)</f>
        <v/>
      </c>
      <c r="BH134" s="15">
        <f>BG134*(healthcare!$B$6+healthcare!$B$7+healthcare!$B$8)*12*Q134</f>
        <v/>
      </c>
      <c r="BI134" s="15">
        <f>BG134*healthcare!$B$9*Q134</f>
        <v/>
      </c>
      <c r="BJ134" s="15">
        <f>BG134*12*O134*SUMPRODUCT((DK132&gt;tax_tables!$Q$5:$Q$9*P134)*tax_tables!$T$5:$T$9)</f>
        <v/>
      </c>
      <c r="BK134" s="12">
        <f>AND(B134&gt;=$B$51,B134&lt;$B$51+$B$52)*1+AND(C134&gt;=$B$53,C134&lt;$B$53+$B$54)*1</f>
        <v/>
      </c>
      <c r="BL134" s="15">
        <f>BK134*$B$55*S134</f>
        <v/>
      </c>
      <c r="BM134" s="15">
        <f>BB134+BE134+BF134+BH134+BI134+BJ134+BL134</f>
        <v/>
      </c>
      <c r="BN134" s="15">
        <f>BP133</f>
        <v/>
      </c>
      <c r="BO134" s="15">
        <f>IF(V134=1,0,MIN(BN134*(1+M134),BF134+BG134*(healthcare!$B$6+healthcare!$B$7)*12*Q134+BI134+BJ134+BL134))</f>
        <v/>
      </c>
      <c r="BP134" s="15">
        <f>BN134*(1+M134)-BO134+AC134-CV134</f>
        <v/>
      </c>
      <c r="BQ134" s="15">
        <f>SUMPRODUCT((1-($B$76:$B$79&gt;0)*(A134&gt;=$B$76:$B$79))*(1-(($C$76:$C$79&gt;0)*(A134&gt;=$C$76:$C$79)))*(properties!$L$3:$L$6-properties!$M$3:$M$6))*O134+SUMPRODUCT((1-($B$76:$B$79&gt;0)*(A134&gt;=$B$76:$B$79))*(($C$76:$C$79&gt;0)*(A134&gt;=$C$76:$C$79))*($D$76:$D$79-$E$76:$E$79))*O134</f>
        <v/>
      </c>
      <c r="BR134" s="15">
        <f>SUMPRODUCT((1-($B$76:$B$79&gt;0)*(A134&gt;=$B$76:$B$79))*properties!$N$3:$N$6*(A134&lt;=properties!$O$3:$O$6))</f>
        <v/>
      </c>
      <c r="BS134" s="15">
        <f>MAX(0,BQ134-BR134)</f>
        <v/>
      </c>
      <c r="BT134" s="15">
        <f>SUMPRODUCT(($B$75:$B$79=A134)*$G$75:$G$79)</f>
        <v/>
      </c>
      <c r="BU134" s="15">
        <f>SUMPRODUCT(($B$75:$B$79=A134)*$H$75:$H$79)</f>
        <v/>
      </c>
      <c r="BV134" s="15">
        <f>SUMPRODUCT(($B$75:$B$79=A134)*$I$75:$I$79)</f>
        <v/>
      </c>
      <c r="BW134" s="15">
        <f>AL134*properties!$C$2*(1+properties!$D$2)^(A134-household!$B$4+1)</f>
        <v/>
      </c>
      <c r="BX134" s="15">
        <f>SUMPRODUCT((1-($B$76:$B$79&gt;0)*(A134&gt;=$B$76:$B$79))*properties!$C$3:$C$6*(1+properties!$D$3:$D$6)^(A134-household!$B$4+1))</f>
        <v/>
      </c>
      <c r="BY134" s="15">
        <f>IF(A134&gt;=$B$31,IF(A134&gt;=$B$32,MAX(household!$B$11*12*(1-$B$28)*O134*IF(A134&gt;=$B$30,1-$B$29,1)*$B$33,0.5*household!$B$12*12*(1-$B$28)*O134*IF(A134&gt;=$B$30,1-$B$29,1)*$B$35),household!$B$11*12*(1-$B$28)*O134*IF(A134&gt;=$B$30,1-$B$29,1)*$B$33),0)</f>
        <v/>
      </c>
      <c r="BZ134" s="15">
        <f>IF(A134&gt;=$B$32,IF(A134&gt;=$B$31,MAX(household!$B$12*12*(1-$B$28)*O134*IF(A134&gt;=$B$30,1-$B$29,1)*$B$34,0.5*household!$B$11*12*(1-$B$28)*O134*IF(A134&gt;=$B$30,1-$B$29,1)*$B$36),household!$B$12*12*(1-$B$28)*O134*IF(A134&gt;=$B$30,1-$B$29,1)*$B$34),0)</f>
        <v/>
      </c>
      <c r="CA134" s="15">
        <f>IF(AND($B$43&lt;&gt;0,A134&gt;=household!$B$6+$B$44),$B$43*(1+$B$18)^(MAX(household!$B$6+$B$44,household!$B$4-1)-household!$B$4+1)*(1+$B$47*$B$18)^(A134-MAX(household!$B$6+$B$44,household!$B$4-1)),0)</f>
        <v/>
      </c>
      <c r="CB134" s="15">
        <f>IF(AND($B$45&lt;&gt;0,A134&gt;=household!$B$9+$B$46),$B$45*(1+$B$18)^(MAX(household!$B$9+$B$46,household!$B$4-1)-household!$B$4+1)*(1+$B$47*$B$18)^(A134-MAX(household!$B$9+$B$46,household!$B$4-1)),0)</f>
        <v/>
      </c>
      <c r="CC134" s="15">
        <f>DC133</f>
        <v/>
      </c>
      <c r="CD134" s="15">
        <f>DD133</f>
        <v/>
      </c>
      <c r="CE134" s="15">
        <f>$B$20*CC134</f>
        <v/>
      </c>
      <c r="CF134" s="15">
        <f>DE133</f>
        <v/>
      </c>
      <c r="CG134" s="15">
        <f>DF133</f>
        <v/>
      </c>
      <c r="CH134" s="15">
        <f>IF(B134&gt;=$B$71,MAX(0,CF134)/INDEX(tax_tables!$Z$5:$Z$53,MATCH(B134,tax_tables!$Y$5:$Y$53,0)),0)</f>
        <v/>
      </c>
      <c r="CI134" s="15">
        <f>IF(C134&gt;=$B$72,MAX(0,CG134)/INDEX(tax_tables!$Z$5:$Z$53,MATCH(C134,tax_tables!$Y$5:$Y$53,0)),0)</f>
        <v/>
      </c>
      <c r="CJ134" s="15">
        <f>DG133</f>
        <v/>
      </c>
      <c r="CK134" s="15">
        <f>IF(OR($B$59="",$B$60=""),0,IF(AND(A134&gt;=$B$59,A134&lt;=$B$60),$B$58*O134,0))</f>
        <v/>
      </c>
      <c r="CL134" s="15">
        <f>MAX(0,CF134*(1+M134)-CH134)</f>
        <v/>
      </c>
      <c r="CM134" s="15">
        <f>MAX(0,CG134*(1+M134)-CI134)</f>
        <v/>
      </c>
      <c r="CN134" s="15">
        <f>EB133-AG133</f>
        <v/>
      </c>
      <c r="CO134" s="15">
        <f>AH134+F134+CA134+CB134+BQ134+CE134+CH134+CI134+BT134+AI134+AJ134+BO134</f>
        <v/>
      </c>
      <c r="CP134" s="15">
        <f>D134+CN134-CO134</f>
        <v/>
      </c>
      <c r="CQ134" s="15">
        <f>MAX(0,MIN(CP134,CC134*(1+M134-$B$20)))</f>
        <v/>
      </c>
      <c r="CR134" s="15">
        <f>MAX(0,MIN(CP134-CQ134,CL134+CM134))</f>
        <v/>
      </c>
      <c r="CS134" s="15">
        <f>IF(CL134+CM134&gt;1,CR134*CL134/(CL134+CM134),0)</f>
        <v/>
      </c>
      <c r="CT134" s="15">
        <f>CR134-CS134</f>
        <v/>
      </c>
      <c r="CU134" s="15">
        <f>MAX(0,MIN(CP134-CQ134-CR134,CJ134*(1+M134)))</f>
        <v/>
      </c>
      <c r="CV134" s="15">
        <f>MAX(0,MIN(CP134-CQ134-CR134-CU134,BN134*(1+M134)-BO134+AC134))</f>
        <v/>
      </c>
      <c r="CW134" s="15">
        <f>MAX(0,-CP134)</f>
        <v/>
      </c>
      <c r="CX134" s="15">
        <f>MIN(CK134,CL134-CS134+CM134-CT134)</f>
        <v/>
      </c>
      <c r="CY134" s="15">
        <f>IF(CL134-CS134+CM134-CT134&gt;1,CX134*(CL134-CS134)/(CL134-CS134+CM134-CT134),0)</f>
        <v/>
      </c>
      <c r="CZ134" s="15">
        <f>CX134-CY134</f>
        <v/>
      </c>
      <c r="DA134" s="22">
        <f>IF(CC134&gt;0,MAX(0,1-CD134/CC134),0)</f>
        <v/>
      </c>
      <c r="DB134" s="15">
        <f>CQ134*DA134</f>
        <v/>
      </c>
      <c r="DC134" s="15">
        <f>CC134*(1+M134-$B$20)-CQ134+CW134</f>
        <v/>
      </c>
      <c r="DD134" s="15">
        <f>CD134-(CQ134-DB134)+CW134</f>
        <v/>
      </c>
      <c r="DE134" s="15">
        <f>CF134*(1+M134)-CH134-CS134-CY134+Y134+AA134</f>
        <v/>
      </c>
      <c r="DF134" s="15">
        <f>CG134*(1+M134)-CI134-CT134-CZ134+Z134+AB134</f>
        <v/>
      </c>
      <c r="DG134" s="15">
        <f>CJ134*(1+M134)-CU134+CX134</f>
        <v/>
      </c>
      <c r="DH134" s="15">
        <f>AE134+CR134+CH134+CI134+CX134+CV134+BS134+AI134+CA134+CB134</f>
        <v/>
      </c>
      <c r="DI134" s="15">
        <f>CE134+DB134+BU134</f>
        <v/>
      </c>
      <c r="DJ134" s="15">
        <f>IF((DH134+DI134+0.5*F134)&lt;=tax_tables!$B$14,0,IF((DH134+DI134+0.5*F134)&lt;=tax_tables!$B$15,MIN(0.5*F134,0.5*((DH134+DI134+0.5*F134)-tax_tables!$B$14)),MIN(0.85*F134,0.85*((DH134+DI134+0.5*F134)-tax_tables!$B$15)+MIN(0.5*F134,tax_tables!$B$15-tax_tables!$B$14))))</f>
        <v/>
      </c>
      <c r="DK134" s="15">
        <f>DH134+DI134+DJ134</f>
        <v/>
      </c>
      <c r="DL134" s="12">
        <f>(B134&gt;=65)+(C134&gt;=65)</f>
        <v/>
      </c>
      <c r="DM134" s="15">
        <f>(tax_tables!$B$5+tax_tables!$B$6*DL134)*P134</f>
        <v/>
      </c>
      <c r="DN134" s="15">
        <f>IF(AND(A134&gt;=tax_tables!$B$8,A134&lt;=tax_tables!$B$9),DL134*MAX(0,tax_tables!$B$7-tax_tables!$B$11*MAX(0,DK134-tax_tables!$B$10)),0)</f>
        <v/>
      </c>
      <c r="DO134" s="15">
        <f>IFERROR(MAX(tax_tables!$B$16,INDEX(tax_tables!$W$5:$W$8,MATCH(A134,tax_tables!$V$5:$V$8,0))-tax_tables!$B$18*MAX(0,DK134-tax_tables!$B$17*1.01^(A134-tax_tables!$B$4))),tax_tables!$B$16)</f>
        <v/>
      </c>
      <c r="DP134" s="15">
        <f>MAX(0,BM134-BB134-tax_tables!$B$23*DK134)</f>
        <v/>
      </c>
      <c r="DQ134" s="15">
        <f>AN134+MIN(DO134,DY133+DZ133+EA133+AL134*properties!$H$2*O134)+DP134+$B$61*O134</f>
        <v/>
      </c>
      <c r="DR134" s="15">
        <f>MAX(DM134,DQ134)</f>
        <v/>
      </c>
      <c r="DS134" s="15">
        <f>MAX(0,DH134+DJ134-DR134-DN134)</f>
        <v/>
      </c>
      <c r="DT134" s="15">
        <f>MAX(0,DI134-MAX(0,DR134+DN134-DH134-DJ134))</f>
        <v/>
      </c>
      <c r="DU134" s="15">
        <f>SUMPRODUCT((DS134&gt;tax_tables!$E$5:$E$16*P134)*(DS134-tax_tables!$E$5:$E$16*P134)*tax_tables!$G$5:$G$16)+SUMPRODUCT(((DS134+DT134)&gt;tax_tables!$I$5:$I$16*P134)*((DS134+DT134)-tax_tables!$I$5:$I$16*P134)*tax_tables!$K$5:$K$16)-SUMPRODUCT((DS134&gt;tax_tables!$I$5:$I$16*P134)*(DS134-tax_tables!$I$5:$I$16*P134)*tax_tables!$K$5:$K$16)+tax_tables!$B$19*BV134+tax_tables!$B$12*MIN(CE134+DB134+BS134+BU134,MAX(0,DK134-tax_tables!$B$13))</f>
        <v/>
      </c>
      <c r="DV134" s="12">
        <f>IF($B$39="",0,IF(A134&gt;=$B$39,1,0))</f>
        <v/>
      </c>
      <c r="DW134" s="15">
        <f>IF(B134+0.5&gt;=tax_tables!$B$30,MIN(CS134+CH134+CY134+CA134,tax_tables!$B$29),0)+IF(C134+0.5&gt;=tax_tables!$B$30,MIN(CT134+CI134+CZ134+CB134,tax_tables!$B$29),0)</f>
        <v/>
      </c>
      <c r="DX134" s="15">
        <f>MAX(0,DK134-tax_tables!$B$28*DJ134-DW134-tax_tables!$B$26*IF(tax_tables!$B$27=1,P134,1))</f>
        <v/>
      </c>
      <c r="DY134" s="15">
        <f>(1-DV134)*SUMPRODUCT((DX134&gt;tax_tables!$M$5:$M$16*IF(tax_tables!$B$27=1,P134,1))*(DX134-tax_tables!$M$5:$M$16*IF(tax_tables!$B$27=1,P134,1))*tax_tables!$O$5:$O$16)</f>
        <v/>
      </c>
      <c r="DZ134" s="15">
        <f>(1-DV134)*tax_tables!$B$31*DX134</f>
        <v/>
      </c>
      <c r="EA134" s="15">
        <f>DV134*$B$40*MAX(0,DK134-DJ134)</f>
        <v/>
      </c>
      <c r="EB134" s="15">
        <f>DU134+DY134+DZ134+EA134</f>
        <v/>
      </c>
      <c r="EC134" s="15">
        <f>DC134+DE134+DF134+DG134+BP134</f>
        <v/>
      </c>
      <c r="ED134" s="15">
        <f>EC134+BW134-AP134+BX134</f>
        <v/>
      </c>
    </row>
    <row r="135">
      <c r="A135" s="12">
        <f>A134+1</f>
        <v/>
      </c>
      <c r="B135" s="12">
        <f>A135-household!$B$6</f>
        <v/>
      </c>
      <c r="C135" s="12">
        <f>A135-household!$B$9</f>
        <v/>
      </c>
      <c r="D135" s="15">
        <f>AS135+AT135+AU135+AV135+AZ135+BM135+AK135</f>
        <v/>
      </c>
      <c r="E135" s="15">
        <f>CN135+AG135+AF135</f>
        <v/>
      </c>
      <c r="F135" s="15">
        <f>BY135+BZ135</f>
        <v/>
      </c>
      <c r="G135" s="15">
        <f>CQ135+CR135+CU135+CH135+CI135+CE135-CW135+CV135+BO135</f>
        <v/>
      </c>
      <c r="H135" s="22">
        <f>IF(CC135+CF135+CG135+CJ135+BN135&lt;=0,"",G135/(CC135+CF135+CG135+CJ135+BN135))</f>
        <v/>
      </c>
      <c r="I135" s="23">
        <f>EC135/O135</f>
        <v/>
      </c>
      <c r="J135" s="23">
        <f>ED135/O135</f>
        <v/>
      </c>
      <c r="K135" s="15">
        <f>MAX(0,CP135-CQ135-CR135-CU135-CV135)</f>
        <v/>
      </c>
      <c r="L135" s="11" t="n"/>
      <c r="M135" s="22">
        <f>IF(L135="",$B$19,L135)</f>
        <v/>
      </c>
      <c r="N135" s="14" t="n"/>
      <c r="O135" s="13">
        <f>(1+$B$18)^(A135-household!$B$4+1)</f>
        <v/>
      </c>
      <c r="P135" s="13">
        <f>(1+$B$18)^(A135-tax_tables!$B$4)</f>
        <v/>
      </c>
      <c r="Q135" s="13">
        <f>(1+$B$21)^(A135-household!$B$4+1)</f>
        <v/>
      </c>
      <c r="R135" s="13">
        <f>(1+$B$22)^(A135-household!$B$4+1)</f>
        <v/>
      </c>
      <c r="S135" s="13">
        <f>(1+$B$23)^(A135-household!$B$4+1)</f>
        <v/>
      </c>
      <c r="T135" s="12">
        <f>IF(A135&lt;$B$5,1,0)</f>
        <v/>
      </c>
      <c r="U135" s="12">
        <f>IF(A135&lt;$B$6,1,0)</f>
        <v/>
      </c>
      <c r="V135" s="12">
        <f>IF(T135+U135&gt;0,1,0)</f>
        <v/>
      </c>
      <c r="W135" s="15">
        <f>T135*$B$7*O135+SUMPRODUCT(($B$83:$B$88=A135)*($D$83:$D$88="Wages: person 1")*$C$83:$C$88)*O135</f>
        <v/>
      </c>
      <c r="X135" s="15">
        <f>U135*$B$8*O135+SUMPRODUCT(($B$83:$B$88=A135)*($D$83:$D$88="Wages: person 2")*$C$83:$C$88)*O135</f>
        <v/>
      </c>
      <c r="Y135" s="15">
        <f>T135*$B$9*O135</f>
        <v/>
      </c>
      <c r="Z135" s="15">
        <f>U135*$B$10*O135</f>
        <v/>
      </c>
      <c r="AA135" s="15">
        <f>T135*$B$11*O135</f>
        <v/>
      </c>
      <c r="AB135" s="15">
        <f>U135*$B$12*O135</f>
        <v/>
      </c>
      <c r="AC135" s="15">
        <f>V135*$B$13*O135</f>
        <v/>
      </c>
      <c r="AD135" s="15">
        <f>W135+X135</f>
        <v/>
      </c>
      <c r="AE135" s="15">
        <f>AD135-Y135-Z135-AC135</f>
        <v/>
      </c>
      <c r="AF135" s="15">
        <f>0.062*MIN(W135,tax_tables!$B$21*P135)+0.062*MIN(X135,tax_tables!$B$21*P135)+0.0145*AD135+0.009*MAX(0,AD135-tax_tables!$B$22)</f>
        <v/>
      </c>
      <c r="AG135" s="15">
        <f>$B$14*AE135</f>
        <v/>
      </c>
      <c r="AH135" s="15">
        <f>AD135-Y135-Z135-AC135-AF135-AG135</f>
        <v/>
      </c>
      <c r="AI135" s="15">
        <f>SUMPRODUCT(($B$83:$B$88=A135)*($D$83:$D$88="Other taxable income")*$C$83:$C$88)*O135</f>
        <v/>
      </c>
      <c r="AJ135" s="15">
        <f>SUMPRODUCT(($B$83:$B$88=A135)*($D$83:$D$88="Tax-free money in")*$C$83:$C$88)*O135</f>
        <v/>
      </c>
      <c r="AK135" s="15">
        <f>SUMPRODUCT(($B$83:$B$88=A135)*($D$83:$D$88="Expense")*$C$83:$C$88)*O135</f>
        <v/>
      </c>
      <c r="AL135" s="12">
        <f>IF(OR($B$75="",A135&lt;$B$75),1,0)</f>
        <v/>
      </c>
      <c r="AM135" s="15">
        <f>AP134</f>
        <v/>
      </c>
      <c r="AN135" s="15">
        <f>AL135*AM135*properties!$J$2</f>
        <v/>
      </c>
      <c r="AO135" s="15">
        <f>AL135*MIN(properties!$K$2,AM135+AN135)</f>
        <v/>
      </c>
      <c r="AP135" s="15">
        <f>AL135*(AM135+AN135-AO135)</f>
        <v/>
      </c>
      <c r="AQ135" s="15">
        <f>AL135*properties!$G$2*O135</f>
        <v/>
      </c>
      <c r="AR135" s="15">
        <f>(1-AL135)*$E$75*O135</f>
        <v/>
      </c>
      <c r="AS135" s="15">
        <f>AO135+AQ135+AR135</f>
        <v/>
      </c>
      <c r="AT135" s="15">
        <f>SUMIF(budget!$A$2:$A$300,"household",budget!$F$2:$F$300)*O135*IF(N135="",1,N135)</f>
        <v/>
      </c>
      <c r="AU135" s="15">
        <f>SUMPRODUCT((other_budget!$C$2:$C$30&lt;=A135)*(other_budget!$D$2:$D$30&gt;=A135)*other_budget!$B$2:$B$30)*O135</f>
        <v/>
      </c>
      <c r="AV135" s="15">
        <f>SUMPRODUCT((kids_budget!$D$2:$D$40&lt;=A135)*(kids_budget!$E$2:$E$40&gt;=A135)*(kids_budget!$G$2:$G$40&lt;&gt;"college_funds")*kids_budget!$C$2:$C$40*((kids_budget!$F$2:$F$40="college")*R135+(kids_budget!$F$2:$F$40&lt;&gt;"college")*O135))</f>
        <v/>
      </c>
      <c r="AW135" s="15">
        <f>SUMPRODUCT((kids_budget!$D$2:$D$40&lt;=A135)*(kids_budget!$E$2:$E$40&gt;=A135)*(kids_budget!$G$2:$G$40="college_funds")*kids_budget!$C$2:$C$40*((kids_budget!$F$2:$F$40="college")*R135+(kids_budget!$F$2:$F$40&lt;&gt;"college")*O135))</f>
        <v/>
      </c>
      <c r="AX135" s="15">
        <f>BA134</f>
        <v/>
      </c>
      <c r="AY135" s="15">
        <f>MIN(AW135,AX135*(1+M135))</f>
        <v/>
      </c>
      <c r="AZ135" s="15">
        <f>AW135-AY135</f>
        <v/>
      </c>
      <c r="BA135" s="15">
        <f>AX135*(1+M135)-AY135</f>
        <v/>
      </c>
      <c r="BB135" s="15">
        <f>V135*healthcare!$B$5*Q135</f>
        <v/>
      </c>
      <c r="BC135" s="12">
        <f>(1-V135)*((B135&lt;65)+(C135&lt;65))</f>
        <v/>
      </c>
      <c r="BD135" s="12">
        <f>COUNTIF(household!$C$16:$C$23,"&gt;="&amp;A135)</f>
        <v/>
      </c>
      <c r="BE135" s="15">
        <f>(BC135*healthcare!$B$2+IF(BC135&gt;0,BD135,0)*healthcare!$B$3)*12*Q135</f>
        <v/>
      </c>
      <c r="BF135" s="15">
        <f>IF(BC135&gt;0,(BC135+BD135)*healthcare!$B$4*Q135,0)</f>
        <v/>
      </c>
      <c r="BG135" s="12">
        <f>(B135&gt;=65)+(C135&gt;=65)</f>
        <v/>
      </c>
      <c r="BH135" s="15">
        <f>BG135*(healthcare!$B$6+healthcare!$B$7+healthcare!$B$8)*12*Q135</f>
        <v/>
      </c>
      <c r="BI135" s="15">
        <f>BG135*healthcare!$B$9*Q135</f>
        <v/>
      </c>
      <c r="BJ135" s="15">
        <f>BG135*12*O135*SUMPRODUCT((DK133&gt;tax_tables!$Q$5:$Q$9*P135)*tax_tables!$T$5:$T$9)</f>
        <v/>
      </c>
      <c r="BK135" s="12">
        <f>AND(B135&gt;=$B$51,B135&lt;$B$51+$B$52)*1+AND(C135&gt;=$B$53,C135&lt;$B$53+$B$54)*1</f>
        <v/>
      </c>
      <c r="BL135" s="15">
        <f>BK135*$B$55*S135</f>
        <v/>
      </c>
      <c r="BM135" s="15">
        <f>BB135+BE135+BF135+BH135+BI135+BJ135+BL135</f>
        <v/>
      </c>
      <c r="BN135" s="15">
        <f>BP134</f>
        <v/>
      </c>
      <c r="BO135" s="15">
        <f>IF(V135=1,0,MIN(BN135*(1+M135),BF135+BG135*(healthcare!$B$6+healthcare!$B$7)*12*Q135+BI135+BJ135+BL135))</f>
        <v/>
      </c>
      <c r="BP135" s="15">
        <f>BN135*(1+M135)-BO135+AC135-CV135</f>
        <v/>
      </c>
      <c r="BQ135" s="15">
        <f>SUMPRODUCT((1-($B$76:$B$79&gt;0)*(A135&gt;=$B$76:$B$79))*(1-(($C$76:$C$79&gt;0)*(A135&gt;=$C$76:$C$79)))*(properties!$L$3:$L$6-properties!$M$3:$M$6))*O135+SUMPRODUCT((1-($B$76:$B$79&gt;0)*(A135&gt;=$B$76:$B$79))*(($C$76:$C$79&gt;0)*(A135&gt;=$C$76:$C$79))*($D$76:$D$79-$E$76:$E$79))*O135</f>
        <v/>
      </c>
      <c r="BR135" s="15">
        <f>SUMPRODUCT((1-($B$76:$B$79&gt;0)*(A135&gt;=$B$76:$B$79))*properties!$N$3:$N$6*(A135&lt;=properties!$O$3:$O$6))</f>
        <v/>
      </c>
      <c r="BS135" s="15">
        <f>MAX(0,BQ135-BR135)</f>
        <v/>
      </c>
      <c r="BT135" s="15">
        <f>SUMPRODUCT(($B$75:$B$79=A135)*$G$75:$G$79)</f>
        <v/>
      </c>
      <c r="BU135" s="15">
        <f>SUMPRODUCT(($B$75:$B$79=A135)*$H$75:$H$79)</f>
        <v/>
      </c>
      <c r="BV135" s="15">
        <f>SUMPRODUCT(($B$75:$B$79=A135)*$I$75:$I$79)</f>
        <v/>
      </c>
      <c r="BW135" s="15">
        <f>AL135*properties!$C$2*(1+properties!$D$2)^(A135-household!$B$4+1)</f>
        <v/>
      </c>
      <c r="BX135" s="15">
        <f>SUMPRODUCT((1-($B$76:$B$79&gt;0)*(A135&gt;=$B$76:$B$79))*properties!$C$3:$C$6*(1+properties!$D$3:$D$6)^(A135-household!$B$4+1))</f>
        <v/>
      </c>
      <c r="BY135" s="15">
        <f>IF(A135&gt;=$B$31,IF(A135&gt;=$B$32,MAX(household!$B$11*12*(1-$B$28)*O135*IF(A135&gt;=$B$30,1-$B$29,1)*$B$33,0.5*household!$B$12*12*(1-$B$28)*O135*IF(A135&gt;=$B$30,1-$B$29,1)*$B$35),household!$B$11*12*(1-$B$28)*O135*IF(A135&gt;=$B$30,1-$B$29,1)*$B$33),0)</f>
        <v/>
      </c>
      <c r="BZ135" s="15">
        <f>IF(A135&gt;=$B$32,IF(A135&gt;=$B$31,MAX(household!$B$12*12*(1-$B$28)*O135*IF(A135&gt;=$B$30,1-$B$29,1)*$B$34,0.5*household!$B$11*12*(1-$B$28)*O135*IF(A135&gt;=$B$30,1-$B$29,1)*$B$36),household!$B$12*12*(1-$B$28)*O135*IF(A135&gt;=$B$30,1-$B$29,1)*$B$34),0)</f>
        <v/>
      </c>
      <c r="CA135" s="15">
        <f>IF(AND($B$43&lt;&gt;0,A135&gt;=household!$B$6+$B$44),$B$43*(1+$B$18)^(MAX(household!$B$6+$B$44,household!$B$4-1)-household!$B$4+1)*(1+$B$47*$B$18)^(A135-MAX(household!$B$6+$B$44,household!$B$4-1)),0)</f>
        <v/>
      </c>
      <c r="CB135" s="15">
        <f>IF(AND($B$45&lt;&gt;0,A135&gt;=household!$B$9+$B$46),$B$45*(1+$B$18)^(MAX(household!$B$9+$B$46,household!$B$4-1)-household!$B$4+1)*(1+$B$47*$B$18)^(A135-MAX(household!$B$9+$B$46,household!$B$4-1)),0)</f>
        <v/>
      </c>
      <c r="CC135" s="15">
        <f>DC134</f>
        <v/>
      </c>
      <c r="CD135" s="15">
        <f>DD134</f>
        <v/>
      </c>
      <c r="CE135" s="15">
        <f>$B$20*CC135</f>
        <v/>
      </c>
      <c r="CF135" s="15">
        <f>DE134</f>
        <v/>
      </c>
      <c r="CG135" s="15">
        <f>DF134</f>
        <v/>
      </c>
      <c r="CH135" s="15">
        <f>IF(B135&gt;=$B$71,MAX(0,CF135)/INDEX(tax_tables!$Z$5:$Z$53,MATCH(B135,tax_tables!$Y$5:$Y$53,0)),0)</f>
        <v/>
      </c>
      <c r="CI135" s="15">
        <f>IF(C135&gt;=$B$72,MAX(0,CG135)/INDEX(tax_tables!$Z$5:$Z$53,MATCH(C135,tax_tables!$Y$5:$Y$53,0)),0)</f>
        <v/>
      </c>
      <c r="CJ135" s="15">
        <f>DG134</f>
        <v/>
      </c>
      <c r="CK135" s="15">
        <f>IF(OR($B$59="",$B$60=""),0,IF(AND(A135&gt;=$B$59,A135&lt;=$B$60),$B$58*O135,0))</f>
        <v/>
      </c>
      <c r="CL135" s="15">
        <f>MAX(0,CF135*(1+M135)-CH135)</f>
        <v/>
      </c>
      <c r="CM135" s="15">
        <f>MAX(0,CG135*(1+M135)-CI135)</f>
        <v/>
      </c>
      <c r="CN135" s="15">
        <f>EB134-AG134</f>
        <v/>
      </c>
      <c r="CO135" s="15">
        <f>AH135+F135+CA135+CB135+BQ135+CE135+CH135+CI135+BT135+AI135+AJ135+BO135</f>
        <v/>
      </c>
      <c r="CP135" s="15">
        <f>D135+CN135-CO135</f>
        <v/>
      </c>
      <c r="CQ135" s="15">
        <f>MAX(0,MIN(CP135,CC135*(1+M135-$B$20)))</f>
        <v/>
      </c>
      <c r="CR135" s="15">
        <f>MAX(0,MIN(CP135-CQ135,CL135+CM135))</f>
        <v/>
      </c>
      <c r="CS135" s="15">
        <f>IF(CL135+CM135&gt;1,CR135*CL135/(CL135+CM135),0)</f>
        <v/>
      </c>
      <c r="CT135" s="15">
        <f>CR135-CS135</f>
        <v/>
      </c>
      <c r="CU135" s="15">
        <f>MAX(0,MIN(CP135-CQ135-CR135,CJ135*(1+M135)))</f>
        <v/>
      </c>
      <c r="CV135" s="15">
        <f>MAX(0,MIN(CP135-CQ135-CR135-CU135,BN135*(1+M135)-BO135+AC135))</f>
        <v/>
      </c>
      <c r="CW135" s="15">
        <f>MAX(0,-CP135)</f>
        <v/>
      </c>
      <c r="CX135" s="15">
        <f>MIN(CK135,CL135-CS135+CM135-CT135)</f>
        <v/>
      </c>
      <c r="CY135" s="15">
        <f>IF(CL135-CS135+CM135-CT135&gt;1,CX135*(CL135-CS135)/(CL135-CS135+CM135-CT135),0)</f>
        <v/>
      </c>
      <c r="CZ135" s="15">
        <f>CX135-CY135</f>
        <v/>
      </c>
      <c r="DA135" s="22">
        <f>IF(CC135&gt;0,MAX(0,1-CD135/CC135),0)</f>
        <v/>
      </c>
      <c r="DB135" s="15">
        <f>CQ135*DA135</f>
        <v/>
      </c>
      <c r="DC135" s="15">
        <f>CC135*(1+M135-$B$20)-CQ135+CW135</f>
        <v/>
      </c>
      <c r="DD135" s="15">
        <f>CD135-(CQ135-DB135)+CW135</f>
        <v/>
      </c>
      <c r="DE135" s="15">
        <f>CF135*(1+M135)-CH135-CS135-CY135+Y135+AA135</f>
        <v/>
      </c>
      <c r="DF135" s="15">
        <f>CG135*(1+M135)-CI135-CT135-CZ135+Z135+AB135</f>
        <v/>
      </c>
      <c r="DG135" s="15">
        <f>CJ135*(1+M135)-CU135+CX135</f>
        <v/>
      </c>
      <c r="DH135" s="15">
        <f>AE135+CR135+CH135+CI135+CX135+CV135+BS135+AI135+CA135+CB135</f>
        <v/>
      </c>
      <c r="DI135" s="15">
        <f>CE135+DB135+BU135</f>
        <v/>
      </c>
      <c r="DJ135" s="15">
        <f>IF((DH135+DI135+0.5*F135)&lt;=tax_tables!$B$14,0,IF((DH135+DI135+0.5*F135)&lt;=tax_tables!$B$15,MIN(0.5*F135,0.5*((DH135+DI135+0.5*F135)-tax_tables!$B$14)),MIN(0.85*F135,0.85*((DH135+DI135+0.5*F135)-tax_tables!$B$15)+MIN(0.5*F135,tax_tables!$B$15-tax_tables!$B$14))))</f>
        <v/>
      </c>
      <c r="DK135" s="15">
        <f>DH135+DI135+DJ135</f>
        <v/>
      </c>
      <c r="DL135" s="12">
        <f>(B135&gt;=65)+(C135&gt;=65)</f>
        <v/>
      </c>
      <c r="DM135" s="15">
        <f>(tax_tables!$B$5+tax_tables!$B$6*DL135)*P135</f>
        <v/>
      </c>
      <c r="DN135" s="15">
        <f>IF(AND(A135&gt;=tax_tables!$B$8,A135&lt;=tax_tables!$B$9),DL135*MAX(0,tax_tables!$B$7-tax_tables!$B$11*MAX(0,DK135-tax_tables!$B$10)),0)</f>
        <v/>
      </c>
      <c r="DO135" s="15">
        <f>IFERROR(MAX(tax_tables!$B$16,INDEX(tax_tables!$W$5:$W$8,MATCH(A135,tax_tables!$V$5:$V$8,0))-tax_tables!$B$18*MAX(0,DK135-tax_tables!$B$17*1.01^(A135-tax_tables!$B$4))),tax_tables!$B$16)</f>
        <v/>
      </c>
      <c r="DP135" s="15">
        <f>MAX(0,BM135-BB135-tax_tables!$B$23*DK135)</f>
        <v/>
      </c>
      <c r="DQ135" s="15">
        <f>AN135+MIN(DO135,DY134+DZ134+EA134+AL135*properties!$H$2*O135)+DP135+$B$61*O135</f>
        <v/>
      </c>
      <c r="DR135" s="15">
        <f>MAX(DM135,DQ135)</f>
        <v/>
      </c>
      <c r="DS135" s="15">
        <f>MAX(0,DH135+DJ135-DR135-DN135)</f>
        <v/>
      </c>
      <c r="DT135" s="15">
        <f>MAX(0,DI135-MAX(0,DR135+DN135-DH135-DJ135))</f>
        <v/>
      </c>
      <c r="DU135" s="15">
        <f>SUMPRODUCT((DS135&gt;tax_tables!$E$5:$E$16*P135)*(DS135-tax_tables!$E$5:$E$16*P135)*tax_tables!$G$5:$G$16)+SUMPRODUCT(((DS135+DT135)&gt;tax_tables!$I$5:$I$16*P135)*((DS135+DT135)-tax_tables!$I$5:$I$16*P135)*tax_tables!$K$5:$K$16)-SUMPRODUCT((DS135&gt;tax_tables!$I$5:$I$16*P135)*(DS135-tax_tables!$I$5:$I$16*P135)*tax_tables!$K$5:$K$16)+tax_tables!$B$19*BV135+tax_tables!$B$12*MIN(CE135+DB135+BS135+BU135,MAX(0,DK135-tax_tables!$B$13))</f>
        <v/>
      </c>
      <c r="DV135" s="12">
        <f>IF($B$39="",0,IF(A135&gt;=$B$39,1,0))</f>
        <v/>
      </c>
      <c r="DW135" s="15">
        <f>IF(B135+0.5&gt;=tax_tables!$B$30,MIN(CS135+CH135+CY135+CA135,tax_tables!$B$29),0)+IF(C135+0.5&gt;=tax_tables!$B$30,MIN(CT135+CI135+CZ135+CB135,tax_tables!$B$29),0)</f>
        <v/>
      </c>
      <c r="DX135" s="15">
        <f>MAX(0,DK135-tax_tables!$B$28*DJ135-DW135-tax_tables!$B$26*IF(tax_tables!$B$27=1,P135,1))</f>
        <v/>
      </c>
      <c r="DY135" s="15">
        <f>(1-DV135)*SUMPRODUCT((DX135&gt;tax_tables!$M$5:$M$16*IF(tax_tables!$B$27=1,P135,1))*(DX135-tax_tables!$M$5:$M$16*IF(tax_tables!$B$27=1,P135,1))*tax_tables!$O$5:$O$16)</f>
        <v/>
      </c>
      <c r="DZ135" s="15">
        <f>(1-DV135)*tax_tables!$B$31*DX135</f>
        <v/>
      </c>
      <c r="EA135" s="15">
        <f>DV135*$B$40*MAX(0,DK135-DJ135)</f>
        <v/>
      </c>
      <c r="EB135" s="15">
        <f>DU135+DY135+DZ135+EA135</f>
        <v/>
      </c>
      <c r="EC135" s="15">
        <f>DC135+DE135+DF135+DG135+BP135</f>
        <v/>
      </c>
      <c r="ED135" s="15">
        <f>EC135+BW135-AP135+BX135</f>
        <v/>
      </c>
    </row>
  </sheetData>
  <mergeCells count="14">
    <mergeCell ref="A2:L2"/>
    <mergeCell ref="T90:AK90"/>
    <mergeCell ref="CC90:DG90"/>
    <mergeCell ref="L90:S90"/>
    <mergeCell ref="AL90:AS90"/>
    <mergeCell ref="EC90:ED90"/>
    <mergeCell ref="A80:I80"/>
    <mergeCell ref="AT90:BA90"/>
    <mergeCell ref="BB90:BP90"/>
    <mergeCell ref="BY90:BZ90"/>
    <mergeCell ref="CA90:CB90"/>
    <mergeCell ref="BQ90:BX90"/>
    <mergeCell ref="A90:K90"/>
    <mergeCell ref="DH90:EB90"/>
  </mergeCells>
  <dataValidations count="1">
    <dataValidation sqref="D83 D84 D85 D86 D87 D88" showDropDown="0" showInputMessage="0" showErrorMessage="0" allowBlank="1" type="list">
      <formula1>"Wages: person 1,Wages: person 2,Other taxable income,Tax-free money in,Expense"</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4" customWidth="1" min="1" max="1"/>
    <col width="18" customWidth="1" min="2" max="2"/>
    <col width="110" customWidth="1" min="3" max="3"/>
  </cols>
  <sheetData>
    <row r="1">
      <c r="A1" s="19" t="inlineStr">
        <is>
          <t>key</t>
        </is>
      </c>
      <c r="B1" s="19" t="inlineStr">
        <is>
          <t>value</t>
        </is>
      </c>
      <c r="C1" s="19" t="inlineStr">
        <is>
          <t>notes</t>
        </is>
      </c>
    </row>
    <row r="2">
      <c r="A2" t="inlineStr">
        <is>
          <t>country</t>
        </is>
      </c>
      <c r="B2" s="24" t="inlineStr">
        <is>
          <t>US</t>
        </is>
      </c>
      <c r="C2" t="inlineStr">
        <is>
          <t>US = United States, CA = Canada. Fixed when the workbook is built</t>
        </is>
      </c>
    </row>
    <row r="3">
      <c r="A3" t="inlineStr">
        <is>
          <t>region</t>
        </is>
      </c>
      <c r="B3" s="20" t="inlineStr">
        <is>
          <t>New York</t>
        </is>
      </c>
      <c r="C3" t="inlineStr">
        <is>
          <t>State or province (its tax brackets are on the tax_tables tab)</t>
        </is>
      </c>
    </row>
    <row r="4">
      <c r="A4" t="inlineStr">
        <is>
          <t>start_year</t>
        </is>
      </c>
      <c r="B4" s="20" t="n">
        <v>2027</v>
      </c>
      <c r="C4" t="inlineStr">
        <is>
          <t>First year the model covers. Balances on the assets tab are as of 1 January of it; 'today's dollars' are the year before</t>
        </is>
      </c>
    </row>
    <row r="5">
      <c r="A5" t="inlineStr">
        <is>
          <t>p1_name</t>
        </is>
      </c>
      <c r="B5" s="20" t="inlineStr">
        <is>
          <t>Alex</t>
        </is>
      </c>
      <c r="C5" t="inlineStr">
        <is>
          <t>Person 1</t>
        </is>
      </c>
    </row>
    <row r="6">
      <c r="A6" t="inlineStr">
        <is>
          <t>p1_born</t>
        </is>
      </c>
      <c r="B6" s="20" t="n">
        <v>1968</v>
      </c>
      <c r="C6" t="inlineStr">
        <is>
          <t>Birth year</t>
        </is>
      </c>
    </row>
    <row r="7">
      <c r="A7" t="inlineStr">
        <is>
          <t>p1_sex</t>
        </is>
      </c>
      <c r="B7" s="20" t="inlineStr">
        <is>
          <t>F</t>
        </is>
      </c>
      <c r="C7" t="inlineStr">
        <is>
          <t>M or F: which column of the life table the Monte Carlo uses for person 1</t>
        </is>
      </c>
    </row>
    <row r="8">
      <c r="A8" t="inlineStr">
        <is>
          <t>p2_name</t>
        </is>
      </c>
      <c r="B8" s="20" t="inlineStr">
        <is>
          <t>Jordan</t>
        </is>
      </c>
      <c r="C8" t="inlineStr">
        <is>
          <t>Person 2</t>
        </is>
      </c>
    </row>
    <row r="9">
      <c r="A9" t="inlineStr">
        <is>
          <t>p2_born</t>
        </is>
      </c>
      <c r="B9" s="20" t="n">
        <v>1970</v>
      </c>
      <c r="C9" t="inlineStr">
        <is>
          <t>Birth year</t>
        </is>
      </c>
    </row>
    <row r="10">
      <c r="A10" t="inlineStr">
        <is>
          <t>p2_sex</t>
        </is>
      </c>
      <c r="B10" s="20" t="inlineStr">
        <is>
          <t>M</t>
        </is>
      </c>
      <c r="C10" t="inlineStr">
        <is>
          <t>M or F for person 2</t>
        </is>
      </c>
    </row>
    <row r="11">
      <c r="A11" t="inlineStr">
        <is>
          <t>p1_ss_benefit</t>
        </is>
      </c>
      <c r="B11" s="8" t="n">
        <v>3650</v>
      </c>
      <c r="C11" t="inlineStr">
        <is>
          <t>Person 1's Social Security at full retirement age (67), per month, today's $ - from ssa.gov/myaccount</t>
        </is>
      </c>
    </row>
    <row r="12">
      <c r="A12" t="inlineStr">
        <is>
          <t>p2_ss_benefit</t>
        </is>
      </c>
      <c r="B12" s="8" t="n">
        <v>2380</v>
      </c>
      <c r="C12" t="inlineStr">
        <is>
          <t>Person 2's, on their own record</t>
        </is>
      </c>
    </row>
    <row r="14">
      <c r="A14" s="2" t="inlineStr">
        <is>
          <t>Kids</t>
        </is>
      </c>
    </row>
    <row r="15">
      <c r="A15" s="19" t="inlineStr">
        <is>
          <t>name</t>
        </is>
      </c>
      <c r="B15" s="19" t="inlineStr">
        <is>
          <t>born</t>
        </is>
      </c>
      <c r="C15" s="19" t="inlineStr">
        <is>
          <t>on_health_plan_through</t>
        </is>
      </c>
      <c r="D15" s="19" t="inlineStr">
        <is>
          <t>notes</t>
        </is>
      </c>
    </row>
    <row r="16">
      <c r="A16" s="20" t="inlineStr">
        <is>
          <t>Riley</t>
        </is>
      </c>
      <c r="B16" s="20" t="n">
        <v>2006</v>
      </c>
      <c r="C16" s="20" t="n">
        <v>2032</v>
      </c>
      <c r="D16" t="inlineStr">
        <is>
          <t>Stays on the family plan until 26 (or a first job with benefits)</t>
        </is>
      </c>
    </row>
    <row r="17">
      <c r="A17" s="20" t="inlineStr">
        <is>
          <t>Casey</t>
        </is>
      </c>
      <c r="B17" s="20" t="n">
        <v>2009</v>
      </c>
      <c r="C17" s="20" t="n">
        <v>2035</v>
      </c>
    </row>
    <row r="18">
      <c r="A18" s="20" t="n"/>
      <c r="B18" s="20" t="n"/>
      <c r="C18" s="20" t="n"/>
    </row>
    <row r="19">
      <c r="A19" s="20" t="n"/>
      <c r="B19" s="20" t="n"/>
      <c r="C19" s="20" t="n"/>
    </row>
    <row r="20">
      <c r="A20" s="20" t="n"/>
      <c r="B20" s="20" t="n"/>
      <c r="C20" s="20" t="n"/>
    </row>
    <row r="21">
      <c r="A21" s="20" t="n"/>
      <c r="B21" s="20" t="n"/>
      <c r="C21" s="20" t="n"/>
    </row>
    <row r="22">
      <c r="A22" s="20" t="n"/>
      <c r="B22" s="20" t="n"/>
      <c r="C22" s="20" t="n"/>
    </row>
    <row r="23">
      <c r="A23" s="20" t="n"/>
      <c r="B23" s="20" t="n"/>
      <c r="C23" s="20" t="n"/>
    </row>
    <row r="24">
      <c r="A24" t="inlineStr">
        <is>
          <t>Kids' costs are on the kids_budget tab (one line per kid and cost). Health-plan years matter once you buy your own coverage.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2" customWidth="1" min="3" max="3"/>
    <col width="30" customWidth="1" min="4" max="4"/>
    <col width="13" customWidth="1" min="5" max="5"/>
    <col width="15" customWidth="1" min="6" max="6"/>
    <col width="22" customWidth="1" min="7" max="7"/>
    <col width="8" customWidth="1" min="8" max="8"/>
    <col width="70" customWidth="1" min="9" max="9"/>
    <col width="44" customWidth="1" min="11" max="11"/>
    <col width="14" customWidth="1" min="12" max="12"/>
  </cols>
  <sheetData>
    <row r="1">
      <c r="A1" s="16" t="inlineStr">
        <is>
          <t>model_line</t>
        </is>
      </c>
      <c r="B1" s="16" t="inlineStr">
        <is>
          <t>expense_group</t>
        </is>
      </c>
      <c r="C1" s="16" t="inlineStr">
        <is>
          <t>category</t>
        </is>
      </c>
      <c r="D1" s="16" t="inlineStr">
        <is>
          <t>subcategory</t>
        </is>
      </c>
      <c r="E1" s="16" t="inlineStr">
        <is>
          <t>annual_actual</t>
        </is>
      </c>
      <c r="F1" s="16" t="inlineStr">
        <is>
          <t>retirement_budget</t>
        </is>
      </c>
      <c r="G1" s="16" t="inlineStr">
        <is>
          <t>source_period</t>
        </is>
      </c>
      <c r="H1" s="16" t="inlineStr">
        <is>
          <t>n_transactions</t>
        </is>
      </c>
      <c r="I1" s="16" t="inlineStr">
        <is>
          <t>notes</t>
        </is>
      </c>
      <c r="K1" s="2" t="inlineStr">
        <is>
          <t>Household living budget used by the model</t>
        </is>
      </c>
      <c r="L1" s="25">
        <f>SUMIF($A$2:$A$300,"household",$F$2:$F$300)</f>
        <v/>
      </c>
    </row>
    <row r="2">
      <c r="A2" s="20" t="inlineStr">
        <is>
          <t>household</t>
        </is>
      </c>
      <c r="B2" t="inlineStr">
        <is>
          <t>Essential</t>
        </is>
      </c>
      <c r="C2" t="inlineStr">
        <is>
          <t>Groceries</t>
        </is>
      </c>
      <c r="D2" t="inlineStr">
        <is>
          <t>General</t>
        </is>
      </c>
      <c r="E2" s="15" t="n">
        <v>15840</v>
      </c>
      <c r="F2" s="8" t="n">
        <v>15840</v>
      </c>
      <c r="G2" t="inlineStr">
        <is>
          <t>example</t>
        </is>
      </c>
      <c r="H2" t="n">
        <v>212</v>
      </c>
      <c r="K2" t="inlineStr">
        <is>
          <t>All lines, 12-month actual</t>
        </is>
      </c>
      <c r="L2" s="15">
        <f>SUM($E$2:$E$300)</f>
        <v/>
      </c>
    </row>
    <row r="3">
      <c r="A3" s="20" t="inlineStr">
        <is>
          <t>household</t>
        </is>
      </c>
      <c r="B3" t="inlineStr">
        <is>
          <t>Essential</t>
        </is>
      </c>
      <c r="C3" t="inlineStr">
        <is>
          <t>Utilities</t>
        </is>
      </c>
      <c r="D3" t="inlineStr">
        <is>
          <t>Electric, gas, water</t>
        </is>
      </c>
      <c r="E3" s="15" t="n">
        <v>4320</v>
      </c>
      <c r="F3" s="8" t="n">
        <v>4320</v>
      </c>
      <c r="G3" t="inlineStr">
        <is>
          <t>example</t>
        </is>
      </c>
      <c r="H3" t="n">
        <v>24</v>
      </c>
    </row>
    <row r="4">
      <c r="A4" s="20" t="inlineStr">
        <is>
          <t>household</t>
        </is>
      </c>
      <c r="B4" t="inlineStr">
        <is>
          <t>Essential</t>
        </is>
      </c>
      <c r="C4" t="inlineStr">
        <is>
          <t>Utilities</t>
        </is>
      </c>
      <c r="D4" t="inlineStr">
        <is>
          <t>Phone &amp; internet</t>
        </is>
      </c>
      <c r="E4" s="15" t="n">
        <v>2760</v>
      </c>
      <c r="F4" s="8" t="n">
        <v>2760</v>
      </c>
      <c r="G4" t="inlineStr">
        <is>
          <t>example</t>
        </is>
      </c>
      <c r="H4" t="n">
        <v>24</v>
      </c>
      <c r="K4" s="3" t="inlineStr">
        <is>
          <t>model_line: 'household' lines are summed and grow with inflation. Other lines (housing, healthcare, taxes, kids) are modeled on their own tabs and shown here only for reference.</t>
        </is>
      </c>
    </row>
    <row r="5">
      <c r="A5" s="20" t="inlineStr">
        <is>
          <t>household</t>
        </is>
      </c>
      <c r="B5" t="inlineStr">
        <is>
          <t>Essential</t>
        </is>
      </c>
      <c r="C5" t="inlineStr">
        <is>
          <t>Insurance</t>
        </is>
      </c>
      <c r="D5" t="inlineStr">
        <is>
          <t>General</t>
        </is>
      </c>
      <c r="E5" s="15" t="n">
        <v>4150</v>
      </c>
      <c r="F5" s="8" t="n">
        <v>4150</v>
      </c>
      <c r="G5" t="inlineStr">
        <is>
          <t>example</t>
        </is>
      </c>
      <c r="H5" t="n">
        <v>6</v>
      </c>
      <c r="K5" s="3" t="inlineStr">
        <is>
          <t>Edit column F (retirement_budget) to test a different budget; column E is what you actually spent.</t>
        </is>
      </c>
    </row>
    <row r="6">
      <c r="A6" s="20" t="inlineStr">
        <is>
          <t>household</t>
        </is>
      </c>
      <c r="B6" t="inlineStr">
        <is>
          <t>Essential</t>
        </is>
      </c>
      <c r="C6" t="inlineStr">
        <is>
          <t>Transportation</t>
        </is>
      </c>
      <c r="D6" t="inlineStr">
        <is>
          <t>Gas &amp; parking</t>
        </is>
      </c>
      <c r="E6" s="15" t="n">
        <v>3600</v>
      </c>
      <c r="F6" s="8" t="n">
        <v>3600</v>
      </c>
      <c r="G6" t="inlineStr">
        <is>
          <t>example</t>
        </is>
      </c>
      <c r="H6" t="n">
        <v>96</v>
      </c>
    </row>
    <row r="7">
      <c r="A7" s="20" t="inlineStr">
        <is>
          <t>household</t>
        </is>
      </c>
      <c r="B7" t="inlineStr">
        <is>
          <t>Essential</t>
        </is>
      </c>
      <c r="C7" t="inlineStr">
        <is>
          <t>Transportation</t>
        </is>
      </c>
      <c r="D7" t="inlineStr">
        <is>
          <t>Car maintenance</t>
        </is>
      </c>
      <c r="E7" s="15" t="n">
        <v>1900</v>
      </c>
      <c r="F7" s="8" t="n">
        <v>1900</v>
      </c>
      <c r="G7" t="inlineStr">
        <is>
          <t>example</t>
        </is>
      </c>
      <c r="H7" t="n">
        <v>5</v>
      </c>
    </row>
    <row r="8">
      <c r="A8" s="20" t="inlineStr">
        <is>
          <t>household</t>
        </is>
      </c>
      <c r="B8" t="inlineStr">
        <is>
          <t>Essential</t>
        </is>
      </c>
      <c r="C8" t="inlineStr">
        <is>
          <t>Personal Care</t>
        </is>
      </c>
      <c r="D8" t="inlineStr">
        <is>
          <t>General</t>
        </is>
      </c>
      <c r="E8" s="15" t="n">
        <v>2100</v>
      </c>
      <c r="F8" s="8" t="n">
        <v>2100</v>
      </c>
      <c r="G8" t="inlineStr">
        <is>
          <t>example</t>
        </is>
      </c>
      <c r="H8" t="n">
        <v>30</v>
      </c>
    </row>
    <row r="9">
      <c r="A9" s="20" t="inlineStr">
        <is>
          <t>household</t>
        </is>
      </c>
      <c r="B9" t="inlineStr">
        <is>
          <t>Discretionary</t>
        </is>
      </c>
      <c r="C9" t="inlineStr">
        <is>
          <t>Dining</t>
        </is>
      </c>
      <c r="D9" t="inlineStr">
        <is>
          <t>Restaurants &amp; takeout</t>
        </is>
      </c>
      <c r="E9" s="15" t="n">
        <v>9800</v>
      </c>
      <c r="F9" s="8" t="n">
        <v>9800</v>
      </c>
      <c r="G9" t="inlineStr">
        <is>
          <t>example</t>
        </is>
      </c>
      <c r="H9" t="n">
        <v>180</v>
      </c>
    </row>
    <row r="10">
      <c r="A10" s="20" t="inlineStr">
        <is>
          <t>household</t>
        </is>
      </c>
      <c r="B10" t="inlineStr">
        <is>
          <t>Discretionary</t>
        </is>
      </c>
      <c r="C10" t="inlineStr">
        <is>
          <t>Travel</t>
        </is>
      </c>
      <c r="D10" t="inlineStr">
        <is>
          <t>Flights, hotels, rentals</t>
        </is>
      </c>
      <c r="E10" s="15" t="n">
        <v>14500</v>
      </c>
      <c r="F10" s="8" t="n">
        <v>16000</v>
      </c>
      <c r="G10" t="inlineStr">
        <is>
          <t>example</t>
        </is>
      </c>
      <c r="H10" t="n">
        <v>40</v>
      </c>
      <c r="I10" t="inlineStr">
        <is>
          <t>Planning to travel a bit more once retired</t>
        </is>
      </c>
    </row>
    <row r="11">
      <c r="A11" s="20" t="inlineStr">
        <is>
          <t>household</t>
        </is>
      </c>
      <c r="B11" t="inlineStr">
        <is>
          <t>Discretionary</t>
        </is>
      </c>
      <c r="C11" t="inlineStr">
        <is>
          <t>Shopping</t>
        </is>
      </c>
      <c r="D11" t="inlineStr">
        <is>
          <t>General</t>
        </is>
      </c>
      <c r="E11" s="15" t="n">
        <v>11200</v>
      </c>
      <c r="F11" s="8" t="n">
        <v>10000</v>
      </c>
      <c r="G11" t="inlineStr">
        <is>
          <t>example</t>
        </is>
      </c>
      <c r="H11" t="n">
        <v>260</v>
      </c>
    </row>
    <row r="12">
      <c r="A12" s="20" t="inlineStr">
        <is>
          <t>household</t>
        </is>
      </c>
      <c r="B12" t="inlineStr">
        <is>
          <t>Discretionary</t>
        </is>
      </c>
      <c r="C12" t="inlineStr">
        <is>
          <t>Entertainment</t>
        </is>
      </c>
      <c r="D12" t="inlineStr">
        <is>
          <t>General</t>
        </is>
      </c>
      <c r="E12" s="15" t="n">
        <v>3400</v>
      </c>
      <c r="F12" s="8" t="n">
        <v>3400</v>
      </c>
      <c r="G12" t="inlineStr">
        <is>
          <t>example</t>
        </is>
      </c>
      <c r="H12" t="n">
        <v>45</v>
      </c>
    </row>
    <row r="13">
      <c r="A13" s="20" t="inlineStr">
        <is>
          <t>household</t>
        </is>
      </c>
      <c r="B13" t="inlineStr">
        <is>
          <t>Discretionary</t>
        </is>
      </c>
      <c r="C13" t="inlineStr">
        <is>
          <t>Subscriptions</t>
        </is>
      </c>
      <c r="D13" t="inlineStr">
        <is>
          <t>Streaming &amp; software</t>
        </is>
      </c>
      <c r="E13" s="15" t="n">
        <v>1250</v>
      </c>
      <c r="F13" s="8" t="n">
        <v>1250</v>
      </c>
      <c r="G13" t="inlineStr">
        <is>
          <t>example</t>
        </is>
      </c>
      <c r="H13" t="n">
        <v>48</v>
      </c>
    </row>
    <row r="14">
      <c r="A14" s="20" t="inlineStr">
        <is>
          <t>household</t>
        </is>
      </c>
      <c r="B14" t="inlineStr">
        <is>
          <t>Discretionary</t>
        </is>
      </c>
      <c r="C14" t="inlineStr">
        <is>
          <t>Gifts &amp; Donations</t>
        </is>
      </c>
      <c r="D14" t="inlineStr">
        <is>
          <t>General</t>
        </is>
      </c>
      <c r="E14" s="15" t="n">
        <v>5200</v>
      </c>
      <c r="F14" s="8" t="n">
        <v>5200</v>
      </c>
      <c r="G14" t="inlineStr">
        <is>
          <t>example</t>
        </is>
      </c>
      <c r="H14" t="n">
        <v>22</v>
      </c>
    </row>
    <row r="15">
      <c r="A15" s="20" t="inlineStr">
        <is>
          <t>household</t>
        </is>
      </c>
      <c r="B15" t="inlineStr">
        <is>
          <t>Discretionary</t>
        </is>
      </c>
      <c r="C15" t="inlineStr">
        <is>
          <t>Home</t>
        </is>
      </c>
      <c r="D15" t="inlineStr">
        <is>
          <t>Household goods</t>
        </is>
      </c>
      <c r="E15" s="15" t="n">
        <v>3100</v>
      </c>
      <c r="F15" s="8" t="n">
        <v>3100</v>
      </c>
      <c r="G15" t="inlineStr">
        <is>
          <t>example</t>
        </is>
      </c>
      <c r="H15" t="n">
        <v>55</v>
      </c>
    </row>
    <row r="16">
      <c r="A16" s="20" t="inlineStr">
        <is>
          <t>household</t>
        </is>
      </c>
      <c r="B16" t="inlineStr">
        <is>
          <t>Discretionary</t>
        </is>
      </c>
      <c r="C16" t="inlineStr">
        <is>
          <t>Pets</t>
        </is>
      </c>
      <c r="D16" t="inlineStr">
        <is>
          <t>General</t>
        </is>
      </c>
      <c r="E16" s="15" t="n">
        <v>2400</v>
      </c>
      <c r="F16" s="8" t="n">
        <v>2400</v>
      </c>
      <c r="G16" t="inlineStr">
        <is>
          <t>example</t>
        </is>
      </c>
      <c r="H16" t="n">
        <v>30</v>
      </c>
    </row>
    <row r="17">
      <c r="A17" s="20" t="inlineStr">
        <is>
          <t>household</t>
        </is>
      </c>
      <c r="B17" t="inlineStr">
        <is>
          <t>Discretionary</t>
        </is>
      </c>
      <c r="C17" t="inlineStr">
        <is>
          <t>Cash</t>
        </is>
      </c>
      <c r="D17" t="inlineStr">
        <is>
          <t>Withdrawals</t>
        </is>
      </c>
      <c r="E17" s="15" t="n">
        <v>1800</v>
      </c>
      <c r="F17" s="8" t="n">
        <v>1800</v>
      </c>
      <c r="G17" t="inlineStr">
        <is>
          <t>example</t>
        </is>
      </c>
      <c r="H17" t="n">
        <v>20</v>
      </c>
    </row>
    <row r="18">
      <c r="A18" s="20" t="inlineStr">
        <is>
          <t>housing</t>
        </is>
      </c>
      <c r="B18" t="inlineStr">
        <is>
          <t>Housing</t>
        </is>
      </c>
      <c r="C18" t="inlineStr">
        <is>
          <t>Housing</t>
        </is>
      </c>
      <c r="D18" t="inlineStr">
        <is>
          <t>Mortgage</t>
        </is>
      </c>
      <c r="E18" s="15" t="n">
        <v>22140</v>
      </c>
      <c r="F18" s="8" t="n"/>
      <c r="G18" t="inlineStr">
        <is>
          <t>example</t>
        </is>
      </c>
      <c r="H18" t="n">
        <v>12</v>
      </c>
      <c r="I18" t="inlineStr">
        <is>
          <t>Modeled from the properties tab (mortgage balance and payment)</t>
        </is>
      </c>
    </row>
    <row r="19">
      <c r="A19" s="20" t="inlineStr">
        <is>
          <t>housing</t>
        </is>
      </c>
      <c r="B19" t="inlineStr">
        <is>
          <t>Housing</t>
        </is>
      </c>
      <c r="C19" t="inlineStr">
        <is>
          <t>Housing</t>
        </is>
      </c>
      <c r="D19" t="inlineStr">
        <is>
          <t>Property tax &amp; insurance</t>
        </is>
      </c>
      <c r="E19" s="15" t="n">
        <v>13900</v>
      </c>
      <c r="F19" s="8" t="n"/>
      <c r="G19" t="inlineStr">
        <is>
          <t>example</t>
        </is>
      </c>
      <c r="H19" t="n">
        <v>6</v>
      </c>
      <c r="I19" t="inlineStr">
        <is>
          <t>Modeled from the properties tab (carrying_costs)</t>
        </is>
      </c>
    </row>
    <row r="20">
      <c r="A20" s="20" t="inlineStr">
        <is>
          <t>healthcare</t>
        </is>
      </c>
      <c r="B20" t="inlineStr">
        <is>
          <t>Healthcare</t>
        </is>
      </c>
      <c r="C20" t="inlineStr">
        <is>
          <t>Healthcare</t>
        </is>
      </c>
      <c r="D20" t="inlineStr">
        <is>
          <t>Out-of-pocket</t>
        </is>
      </c>
      <c r="E20" s="15" t="n">
        <v>3800</v>
      </c>
      <c r="F20" s="8" t="n"/>
      <c r="G20" t="inlineStr">
        <is>
          <t>example</t>
        </is>
      </c>
      <c r="H20" t="n">
        <v>40</v>
      </c>
      <c r="I20" t="inlineStr">
        <is>
          <t>Modeled on the healthcare tab</t>
        </is>
      </c>
    </row>
    <row r="21">
      <c r="A21" s="20" t="inlineStr">
        <is>
          <t>kids</t>
        </is>
      </c>
      <c r="B21" t="inlineStr">
        <is>
          <t>Kids</t>
        </is>
      </c>
      <c r="C21" t="inlineStr">
        <is>
          <t>Kids</t>
        </is>
      </c>
      <c r="D21" t="inlineStr">
        <is>
          <t>Support</t>
        </is>
      </c>
      <c r="E21" s="15" t="n">
        <v>19200</v>
      </c>
      <c r="F21" s="8" t="n"/>
      <c r="G21" t="inlineStr">
        <is>
          <t>example</t>
        </is>
      </c>
      <c r="H21" t="n">
        <v>48</v>
      </c>
      <c r="I21" t="inlineStr">
        <is>
          <t>Modeled on the kids_budget tab</t>
        </is>
      </c>
    </row>
    <row r="22">
      <c r="A22" s="20" t="inlineStr">
        <is>
          <t>taxes</t>
        </is>
      </c>
      <c r="B22" t="inlineStr">
        <is>
          <t>Taxes</t>
        </is>
      </c>
      <c r="C22" t="inlineStr">
        <is>
          <t>Taxes</t>
        </is>
      </c>
      <c r="D22" t="inlineStr">
        <is>
          <t>Estimated payments</t>
        </is>
      </c>
      <c r="E22" s="15" t="n">
        <v>8000</v>
      </c>
      <c r="F22" s="8" t="n"/>
      <c r="G22" t="inlineStr">
        <is>
          <t>example</t>
        </is>
      </c>
      <c r="H22" t="n">
        <v>4</v>
      </c>
      <c r="I22" t="inlineStr">
        <is>
          <t>Replaced by the model's own tax calculation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10" customWidth="1" min="1" max="1"/>
    <col width="44" customWidth="1" min="2" max="2"/>
    <col width="14" customWidth="1" min="3" max="3"/>
    <col width="10" customWidth="1" min="4" max="4"/>
    <col width="10" customWidth="1" min="5" max="5"/>
    <col width="10" customWidth="1" min="6" max="6"/>
    <col width="14" customWidth="1" min="7" max="7"/>
    <col width="70" customWidth="1" min="8" max="8"/>
  </cols>
  <sheetData>
    <row r="1">
      <c r="A1" s="16" t="inlineStr">
        <is>
          <t>kid</t>
        </is>
      </c>
      <c r="B1" s="16" t="inlineStr">
        <is>
          <t>item</t>
        </is>
      </c>
      <c r="C1" s="16" t="inlineStr">
        <is>
          <t>annual_amount_today</t>
        </is>
      </c>
      <c r="D1" s="16" t="inlineStr">
        <is>
          <t>start_year</t>
        </is>
      </c>
      <c r="E1" s="16" t="inlineStr">
        <is>
          <t>end_year</t>
        </is>
      </c>
      <c r="F1" s="16" t="inlineStr">
        <is>
          <t>inflation</t>
        </is>
      </c>
      <c r="G1" s="16" t="inlineStr">
        <is>
          <t>paid_from</t>
        </is>
      </c>
      <c r="H1" s="16" t="inlineStr">
        <is>
          <t>notes</t>
        </is>
      </c>
    </row>
    <row r="2">
      <c r="A2" s="20" t="inlineStr">
        <is>
          <t>Riley</t>
        </is>
      </c>
      <c r="B2" s="20" t="inlineStr">
        <is>
          <t>College (private) - tuition + room and board</t>
        </is>
      </c>
      <c r="C2" s="8" t="n">
        <v>82000</v>
      </c>
      <c r="D2" s="20" t="n">
        <v>2027</v>
      </c>
      <c r="E2" s="20" t="n">
        <v>2028</v>
      </c>
      <c r="F2" s="20" t="inlineStr">
        <is>
          <t>college</t>
        </is>
      </c>
      <c r="G2" s="20" t="inlineStr">
        <is>
          <t>college_funds</t>
        </is>
      </c>
      <c r="H2" t="inlineStr">
        <is>
          <t>Junior and senior years; 529 pays first</t>
        </is>
      </c>
    </row>
    <row r="3">
      <c r="A3" s="20" t="inlineStr">
        <is>
          <t>Riley</t>
        </is>
      </c>
      <c r="B3" s="20" t="inlineStr">
        <is>
          <t>Spending money in college</t>
        </is>
      </c>
      <c r="C3" s="8" t="n">
        <v>6000</v>
      </c>
      <c r="D3" s="20" t="n">
        <v>2027</v>
      </c>
      <c r="E3" s="20" t="n">
        <v>2028</v>
      </c>
      <c r="F3" s="20" t="inlineStr">
        <is>
          <t>general</t>
        </is>
      </c>
      <c r="G3" s="20" t="inlineStr">
        <is>
          <t>parents</t>
        </is>
      </c>
    </row>
    <row r="4">
      <c r="A4" s="20" t="inlineStr">
        <is>
          <t>Riley</t>
        </is>
      </c>
      <c r="B4" s="20" t="inlineStr">
        <is>
          <t>Help after college (rent share + phone + insurance)</t>
        </is>
      </c>
      <c r="C4" s="8" t="n">
        <v>14000</v>
      </c>
      <c r="D4" s="20" t="n">
        <v>2029</v>
      </c>
      <c r="E4" s="20" t="n">
        <v>2031</v>
      </c>
      <c r="F4" s="20" t="inlineStr">
        <is>
          <t>general</t>
        </is>
      </c>
      <c r="G4" s="20" t="inlineStr">
        <is>
          <t>parents</t>
        </is>
      </c>
      <c r="H4" t="inlineStr">
        <is>
          <t>First three years after graduating</t>
        </is>
      </c>
    </row>
    <row r="5">
      <c r="A5" s="20" t="inlineStr">
        <is>
          <t>Riley</t>
        </is>
      </c>
      <c r="B5" s="20" t="inlineStr">
        <is>
          <t>Wedding gift</t>
        </is>
      </c>
      <c r="C5" s="8" t="n">
        <v>30000</v>
      </c>
      <c r="D5" s="20" t="n">
        <v>2033</v>
      </c>
      <c r="E5" s="20" t="n">
        <v>2033</v>
      </c>
      <c r="F5" s="20" t="inlineStr">
        <is>
          <t>general</t>
        </is>
      </c>
      <c r="G5" s="20" t="inlineStr">
        <is>
          <t>parents</t>
        </is>
      </c>
      <c r="H5" t="inlineStr">
        <is>
          <t>A one-time line: start = end year</t>
        </is>
      </c>
    </row>
    <row r="6">
      <c r="A6" s="20" t="inlineStr">
        <is>
          <t>Casey</t>
        </is>
      </c>
      <c r="B6" s="20" t="inlineStr">
        <is>
          <t>College (state school) - tuition + room and board</t>
        </is>
      </c>
      <c r="C6" s="8" t="n">
        <v>34000</v>
      </c>
      <c r="D6" s="20" t="n">
        <v>2027</v>
      </c>
      <c r="E6" s="20" t="n">
        <v>2031</v>
      </c>
      <c r="F6" s="20" t="inlineStr">
        <is>
          <t>college</t>
        </is>
      </c>
      <c r="G6" s="20" t="inlineStr">
        <is>
          <t>college_funds</t>
        </is>
      </c>
      <c r="H6" t="inlineStr">
        <is>
          <t>Five-year program</t>
        </is>
      </c>
    </row>
    <row r="7">
      <c r="A7" s="20" t="inlineStr">
        <is>
          <t>Casey</t>
        </is>
      </c>
      <c r="B7" s="20" t="inlineStr">
        <is>
          <t>Spending money in college</t>
        </is>
      </c>
      <c r="C7" s="8" t="n">
        <v>5000</v>
      </c>
      <c r="D7" s="20" t="n">
        <v>2027</v>
      </c>
      <c r="E7" s="20" t="n">
        <v>2031</v>
      </c>
      <c r="F7" s="20" t="inlineStr">
        <is>
          <t>general</t>
        </is>
      </c>
      <c r="G7" s="20" t="inlineStr">
        <is>
          <t>parents</t>
        </is>
      </c>
    </row>
    <row r="8">
      <c r="A8" s="20" t="inlineStr">
        <is>
          <t>Casey</t>
        </is>
      </c>
      <c r="B8" s="20" t="inlineStr">
        <is>
          <t>Help after college</t>
        </is>
      </c>
      <c r="C8" s="8" t="n">
        <v>20000</v>
      </c>
      <c r="D8" s="20" t="n">
        <v>2032</v>
      </c>
      <c r="E8" s="20" t="n">
        <v>2033</v>
      </c>
      <c r="F8" s="20" t="inlineStr">
        <is>
          <t>general</t>
        </is>
      </c>
      <c r="G8" s="20" t="inlineStr">
        <is>
          <t>parents</t>
        </is>
      </c>
      <c r="H8" t="inlineStr">
        <is>
          <t>Two years while in grad school</t>
        </is>
      </c>
    </row>
    <row r="9">
      <c r="A9" s="20" t="n"/>
      <c r="B9" s="20" t="n"/>
      <c r="C9" s="20" t="n"/>
      <c r="D9" s="20" t="n"/>
      <c r="E9" s="20" t="n"/>
      <c r="F9" s="20" t="n"/>
      <c r="G9" s="20" t="n"/>
    </row>
    <row r="10">
      <c r="A10" s="20" t="n"/>
      <c r="B10" s="20" t="n"/>
      <c r="C10" s="20" t="n"/>
      <c r="D10" s="20" t="n"/>
      <c r="E10" s="20" t="n"/>
      <c r="F10" s="20" t="n"/>
      <c r="G10" s="20" t="n"/>
    </row>
    <row r="11">
      <c r="A11" s="20" t="n"/>
      <c r="B11" s="20" t="n"/>
      <c r="C11" s="20" t="n"/>
      <c r="D11" s="20" t="n"/>
      <c r="E11" s="20" t="n"/>
      <c r="F11" s="20" t="n"/>
      <c r="G11" s="20" t="n"/>
    </row>
    <row r="12">
      <c r="A12" s="20" t="n"/>
      <c r="B12" s="20" t="n"/>
      <c r="C12" s="20" t="n"/>
      <c r="D12" s="20" t="n"/>
      <c r="E12" s="20" t="n"/>
      <c r="F12" s="20" t="n"/>
      <c r="G12" s="20" t="n"/>
    </row>
    <row r="13">
      <c r="A13" s="20" t="n"/>
      <c r="B13" s="20" t="n"/>
      <c r="C13" s="20" t="n"/>
      <c r="D13" s="20" t="n"/>
      <c r="E13" s="20" t="n"/>
      <c r="F13" s="20" t="n"/>
      <c r="G13" s="20" t="n"/>
    </row>
    <row r="14">
      <c r="A14" s="20" t="n"/>
      <c r="B14" s="20" t="n"/>
      <c r="C14" s="20" t="n"/>
      <c r="D14" s="20" t="n"/>
      <c r="E14" s="20" t="n"/>
      <c r="F14" s="20" t="n"/>
      <c r="G14" s="20" t="n"/>
    </row>
    <row r="15">
      <c r="A15" s="20" t="n"/>
      <c r="B15" s="20" t="n"/>
      <c r="C15" s="20" t="n"/>
      <c r="D15" s="20" t="n"/>
      <c r="E15" s="20" t="n"/>
      <c r="F15" s="20" t="n"/>
      <c r="G15" s="20" t="n"/>
    </row>
    <row r="16">
      <c r="A16" s="20" t="n"/>
      <c r="B16" s="20" t="n"/>
      <c r="C16" s="20" t="n"/>
      <c r="D16" s="20" t="n"/>
      <c r="E16" s="20" t="n"/>
      <c r="F16" s="20" t="n"/>
      <c r="G16" s="20" t="n"/>
    </row>
    <row r="17">
      <c r="A17" s="20" t="n"/>
      <c r="B17" s="20" t="n"/>
      <c r="C17" s="20" t="n"/>
      <c r="D17" s="20" t="n"/>
      <c r="E17" s="20" t="n"/>
      <c r="F17" s="20" t="n"/>
      <c r="G17" s="20" t="n"/>
    </row>
    <row r="18">
      <c r="A18" s="20" t="n"/>
      <c r="B18" s="20" t="n"/>
      <c r="C18" s="20" t="n"/>
      <c r="D18" s="20" t="n"/>
      <c r="E18" s="20" t="n"/>
      <c r="F18" s="20" t="n"/>
      <c r="G18" s="20" t="n"/>
    </row>
    <row r="19">
      <c r="A19" s="20" t="n"/>
      <c r="B19" s="20" t="n"/>
      <c r="C19" s="20" t="n"/>
      <c r="D19" s="20" t="n"/>
      <c r="E19" s="20" t="n"/>
      <c r="F19" s="20" t="n"/>
      <c r="G19" s="20" t="n"/>
    </row>
    <row r="20">
      <c r="A20" s="20" t="n"/>
      <c r="B20" s="20" t="n"/>
      <c r="C20" s="20" t="n"/>
      <c r="D20" s="20" t="n"/>
      <c r="E20" s="20" t="n"/>
      <c r="F20" s="20" t="n"/>
      <c r="G20" s="20" t="n"/>
    </row>
    <row r="21">
      <c r="A21" s="20" t="n"/>
      <c r="B21" s="20" t="n"/>
      <c r="C21" s="20" t="n"/>
      <c r="D21" s="20" t="n"/>
      <c r="E21" s="20" t="n"/>
      <c r="F21" s="20" t="n"/>
      <c r="G21" s="20" t="n"/>
    </row>
    <row r="22">
      <c r="A22" s="20" t="n"/>
      <c r="B22" s="20" t="n"/>
      <c r="C22" s="20" t="n"/>
      <c r="D22" s="20" t="n"/>
      <c r="E22" s="20" t="n"/>
      <c r="F22" s="20" t="n"/>
      <c r="G22" s="20" t="n"/>
    </row>
    <row r="23">
      <c r="A23" s="20" t="n"/>
      <c r="B23" s="20" t="n"/>
      <c r="C23" s="20" t="n"/>
      <c r="D23" s="20" t="n"/>
      <c r="E23" s="20" t="n"/>
      <c r="F23" s="20" t="n"/>
      <c r="G23" s="20" t="n"/>
    </row>
    <row r="24">
      <c r="A24" s="20" t="n"/>
      <c r="B24" s="20" t="n"/>
      <c r="C24" s="20" t="n"/>
      <c r="D24" s="20" t="n"/>
      <c r="E24" s="20" t="n"/>
      <c r="F24" s="20" t="n"/>
      <c r="G24" s="20" t="n"/>
    </row>
    <row r="25">
      <c r="A25" s="20" t="n"/>
      <c r="B25" s="20" t="n"/>
      <c r="C25" s="20" t="n"/>
      <c r="D25" s="20" t="n"/>
      <c r="E25" s="20" t="n"/>
      <c r="F25" s="20" t="n"/>
      <c r="G25" s="20" t="n"/>
    </row>
    <row r="26">
      <c r="A26" s="20" t="n"/>
      <c r="B26" s="20" t="n"/>
      <c r="C26" s="20" t="n"/>
      <c r="D26" s="20" t="n"/>
      <c r="E26" s="20" t="n"/>
      <c r="F26" s="20" t="n"/>
      <c r="G26" s="20" t="n"/>
    </row>
    <row r="27">
      <c r="A27" s="20" t="n"/>
      <c r="B27" s="20" t="n"/>
      <c r="C27" s="20" t="n"/>
      <c r="D27" s="20" t="n"/>
      <c r="E27" s="20" t="n"/>
      <c r="F27" s="20" t="n"/>
      <c r="G27" s="20" t="n"/>
    </row>
    <row r="28">
      <c r="A28" s="20" t="n"/>
      <c r="B28" s="20" t="n"/>
      <c r="C28" s="20" t="n"/>
      <c r="D28" s="20" t="n"/>
      <c r="E28" s="20" t="n"/>
      <c r="F28" s="20" t="n"/>
      <c r="G28" s="20" t="n"/>
    </row>
    <row r="29">
      <c r="A29" s="20" t="n"/>
      <c r="B29" s="20" t="n"/>
      <c r="C29" s="20" t="n"/>
      <c r="D29" s="20" t="n"/>
      <c r="E29" s="20" t="n"/>
      <c r="F29" s="20" t="n"/>
      <c r="G29" s="20" t="n"/>
    </row>
    <row r="30">
      <c r="A30" s="20" t="n"/>
      <c r="B30" s="20" t="n"/>
      <c r="C30" s="20" t="n"/>
      <c r="D30" s="20" t="n"/>
      <c r="E30" s="20" t="n"/>
      <c r="F30" s="20" t="n"/>
      <c r="G30" s="20" t="n"/>
    </row>
    <row r="31">
      <c r="A31" s="20" t="n"/>
      <c r="B31" s="20" t="n"/>
      <c r="C31" s="20" t="n"/>
      <c r="D31" s="20" t="n"/>
      <c r="E31" s="20" t="n"/>
      <c r="F31" s="20" t="n"/>
      <c r="G31" s="20" t="n"/>
    </row>
    <row r="32">
      <c r="A32" s="20" t="n"/>
      <c r="B32" s="20" t="n"/>
      <c r="C32" s="20" t="n"/>
      <c r="D32" s="20" t="n"/>
      <c r="E32" s="20" t="n"/>
      <c r="F32" s="20" t="n"/>
      <c r="G32" s="20" t="n"/>
    </row>
    <row r="33">
      <c r="A33" s="20" t="n"/>
      <c r="B33" s="20" t="n"/>
      <c r="C33" s="20" t="n"/>
      <c r="D33" s="20" t="n"/>
      <c r="E33" s="20" t="n"/>
      <c r="F33" s="20" t="n"/>
      <c r="G33" s="20" t="n"/>
    </row>
    <row r="34">
      <c r="A34" s="20" t="n"/>
      <c r="B34" s="20" t="n"/>
      <c r="C34" s="20" t="n"/>
      <c r="D34" s="20" t="n"/>
      <c r="E34" s="20" t="n"/>
      <c r="F34" s="20" t="n"/>
      <c r="G34" s="20" t="n"/>
    </row>
    <row r="35">
      <c r="A35" s="20" t="n"/>
      <c r="B35" s="20" t="n"/>
      <c r="C35" s="20" t="n"/>
      <c r="D35" s="20" t="n"/>
      <c r="E35" s="20" t="n"/>
      <c r="F35" s="20" t="n"/>
      <c r="G35" s="20" t="n"/>
    </row>
    <row r="36">
      <c r="A36" s="20" t="n"/>
      <c r="B36" s="20" t="n"/>
      <c r="C36" s="20" t="n"/>
      <c r="D36" s="20" t="n"/>
      <c r="E36" s="20" t="n"/>
      <c r="F36" s="20" t="n"/>
      <c r="G36" s="20" t="n"/>
    </row>
    <row r="37">
      <c r="A37" s="20" t="n"/>
      <c r="B37" s="20" t="n"/>
      <c r="C37" s="20" t="n"/>
      <c r="D37" s="20" t="n"/>
      <c r="E37" s="20" t="n"/>
      <c r="F37" s="20" t="n"/>
      <c r="G37" s="20" t="n"/>
    </row>
    <row r="38">
      <c r="A38" s="20" t="n"/>
      <c r="B38" s="20" t="n"/>
      <c r="C38" s="20" t="n"/>
      <c r="D38" s="20" t="n"/>
      <c r="E38" s="20" t="n"/>
      <c r="F38" s="20" t="n"/>
      <c r="G38" s="20" t="n"/>
    </row>
    <row r="39">
      <c r="A39" s="20" t="n"/>
      <c r="B39" s="20" t="n"/>
      <c r="C39" s="20" t="n"/>
      <c r="D39" s="20" t="n"/>
      <c r="E39" s="20" t="n"/>
      <c r="F39" s="20" t="n"/>
      <c r="G39" s="20" t="n"/>
    </row>
    <row r="40">
      <c r="A40" s="20" t="n"/>
      <c r="B40" s="20" t="n"/>
      <c r="C40" s="20" t="n"/>
      <c r="D40" s="20" t="n"/>
      <c r="E40" s="20" t="n"/>
      <c r="F40" s="20" t="n"/>
      <c r="G40" s="20" t="n"/>
    </row>
    <row r="42">
      <c r="A42" t="inlineStr">
        <is>
          <t>One line per kid and cost, per year in today's dollars, for the years start_year-end_year. inflation: 'college' lines rise with college cost growth, 'general' with inflation. paid_from: 'college_funds' lines are paid by the 529s first and only the shortfall comes from you; 'parents' lines come straight from you. Add rows above row 41.</t>
        </is>
      </c>
    </row>
  </sheetData>
  <dataValidations count="2">
    <dataValidation sqref="F2:F40" showDropDown="0" showInputMessage="0" showErrorMessage="0" allowBlank="1" type="list">
      <formula1>"general,college"</formula1>
    </dataValidation>
    <dataValidation sqref="G2:G40" showDropDown="0" showInputMessage="0" showErrorMessage="0" allowBlank="1" type="list">
      <formula1>"parents,college_funds"</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2"/>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10" customWidth="1" min="3" max="3"/>
    <col width="10" customWidth="1" min="4" max="4"/>
    <col width="80" customWidth="1" min="5" max="5"/>
  </cols>
  <sheetData>
    <row r="1">
      <c r="A1" s="16" t="inlineStr">
        <is>
          <t>item</t>
        </is>
      </c>
      <c r="B1" s="16" t="inlineStr">
        <is>
          <t>annual_amount_today</t>
        </is>
      </c>
      <c r="C1" s="16" t="inlineStr">
        <is>
          <t>start_year</t>
        </is>
      </c>
      <c r="D1" s="16" t="inlineStr">
        <is>
          <t>end_year</t>
        </is>
      </c>
      <c r="E1" s="16" t="inlineStr">
        <is>
          <t>notes</t>
        </is>
      </c>
    </row>
    <row r="2">
      <c r="A2" s="20" t="inlineStr">
        <is>
          <t>Home repairs and renovations</t>
        </is>
      </c>
      <c r="B2" s="8" t="n">
        <v>12000</v>
      </c>
      <c r="C2" s="20" t="n">
        <v>2027</v>
      </c>
      <c r="D2" s="20" t="n">
        <v>2060</v>
      </c>
      <c r="E2" t="inlineStr">
        <is>
          <t>About 2% of the home's value a year</t>
        </is>
      </c>
    </row>
    <row r="3">
      <c r="A3" s="20" t="inlineStr">
        <is>
          <t>Car replacement</t>
        </is>
      </c>
      <c r="B3" s="8" t="n">
        <v>8000</v>
      </c>
      <c r="C3" s="20" t="n">
        <v>2027</v>
      </c>
      <c r="D3" s="20" t="n">
        <v>2055</v>
      </c>
      <c r="E3" t="inlineStr">
        <is>
          <t>A $40k car every five years</t>
        </is>
      </c>
    </row>
    <row r="4">
      <c r="A4" s="20" t="inlineStr">
        <is>
          <t>Help for aging parents</t>
        </is>
      </c>
      <c r="B4" s="8" t="n">
        <v>6000</v>
      </c>
      <c r="C4" s="20" t="n">
        <v>2027</v>
      </c>
      <c r="D4" s="20" t="n">
        <v>2032</v>
      </c>
    </row>
    <row r="5">
      <c r="A5" s="20" t="n"/>
      <c r="B5" s="20" t="n"/>
      <c r="C5" s="20" t="n"/>
      <c r="D5" s="20" t="n"/>
    </row>
    <row r="6">
      <c r="A6" s="20" t="n"/>
      <c r="B6" s="20" t="n"/>
      <c r="C6" s="20" t="n"/>
      <c r="D6" s="20" t="n"/>
    </row>
    <row r="7">
      <c r="A7" s="20" t="n"/>
      <c r="B7" s="20" t="n"/>
      <c r="C7" s="20" t="n"/>
      <c r="D7" s="20" t="n"/>
    </row>
    <row r="8">
      <c r="A8" s="20" t="n"/>
      <c r="B8" s="20" t="n"/>
      <c r="C8" s="20" t="n"/>
      <c r="D8" s="20" t="n"/>
    </row>
    <row r="9">
      <c r="A9" s="20" t="n"/>
      <c r="B9" s="20" t="n"/>
      <c r="C9" s="20" t="n"/>
      <c r="D9" s="20" t="n"/>
    </row>
    <row r="10">
      <c r="A10" s="20" t="n"/>
      <c r="B10" s="20" t="n"/>
      <c r="C10" s="20" t="n"/>
      <c r="D10" s="20" t="n"/>
    </row>
    <row r="11">
      <c r="A11" s="20" t="n"/>
      <c r="B11" s="20" t="n"/>
      <c r="C11" s="20" t="n"/>
      <c r="D11" s="20" t="n"/>
    </row>
    <row r="12">
      <c r="A12" s="20" t="n"/>
      <c r="B12" s="20" t="n"/>
      <c r="C12" s="20" t="n"/>
      <c r="D12" s="20" t="n"/>
    </row>
    <row r="13">
      <c r="A13" s="20" t="n"/>
      <c r="B13" s="20" t="n"/>
      <c r="C13" s="20" t="n"/>
      <c r="D13" s="20" t="n"/>
    </row>
    <row r="14">
      <c r="A14" s="20" t="n"/>
      <c r="B14" s="20" t="n"/>
      <c r="C14" s="20" t="n"/>
      <c r="D14" s="20" t="n"/>
    </row>
    <row r="15">
      <c r="A15" s="20" t="n"/>
      <c r="B15" s="20" t="n"/>
      <c r="C15" s="20" t="n"/>
      <c r="D15" s="20" t="n"/>
    </row>
    <row r="16">
      <c r="A16" s="20" t="n"/>
      <c r="B16" s="20" t="n"/>
      <c r="C16" s="20" t="n"/>
      <c r="D16" s="20" t="n"/>
    </row>
    <row r="17">
      <c r="A17" s="20" t="n"/>
      <c r="B17" s="20" t="n"/>
      <c r="C17" s="20" t="n"/>
      <c r="D17" s="20" t="n"/>
    </row>
    <row r="18">
      <c r="A18" s="20" t="n"/>
      <c r="B18" s="20" t="n"/>
      <c r="C18" s="20" t="n"/>
      <c r="D18" s="20" t="n"/>
    </row>
    <row r="19">
      <c r="A19" s="20" t="n"/>
      <c r="B19" s="20" t="n"/>
      <c r="C19" s="20" t="n"/>
      <c r="D19" s="20" t="n"/>
    </row>
    <row r="20">
      <c r="A20" s="20" t="n"/>
      <c r="B20" s="20" t="n"/>
      <c r="C20" s="20" t="n"/>
      <c r="D20" s="20" t="n"/>
    </row>
    <row r="21">
      <c r="A21" s="20" t="n"/>
      <c r="B21" s="20" t="n"/>
      <c r="C21" s="20" t="n"/>
      <c r="D21" s="20" t="n"/>
    </row>
    <row r="22">
      <c r="A22" s="20" t="n"/>
      <c r="B22" s="20" t="n"/>
      <c r="C22" s="20" t="n"/>
      <c r="D22" s="20" t="n"/>
    </row>
    <row r="23">
      <c r="A23" s="20" t="n"/>
      <c r="B23" s="20" t="n"/>
      <c r="C23" s="20" t="n"/>
      <c r="D23" s="20" t="n"/>
    </row>
    <row r="24">
      <c r="A24" s="20" t="n"/>
      <c r="B24" s="20" t="n"/>
      <c r="C24" s="20" t="n"/>
      <c r="D24" s="20" t="n"/>
    </row>
    <row r="25">
      <c r="A25" s="20" t="n"/>
      <c r="B25" s="20" t="n"/>
      <c r="C25" s="20" t="n"/>
      <c r="D25" s="20" t="n"/>
    </row>
    <row r="26">
      <c r="A26" s="20" t="n"/>
      <c r="B26" s="20" t="n"/>
      <c r="C26" s="20" t="n"/>
      <c r="D26" s="20" t="n"/>
    </row>
    <row r="27">
      <c r="A27" s="20" t="n"/>
      <c r="B27" s="20" t="n"/>
      <c r="C27" s="20" t="n"/>
      <c r="D27" s="20" t="n"/>
    </row>
    <row r="28">
      <c r="A28" s="20" t="n"/>
      <c r="B28" s="20" t="n"/>
      <c r="C28" s="20" t="n"/>
      <c r="D28" s="20" t="n"/>
    </row>
    <row r="29">
      <c r="A29" s="20" t="n"/>
      <c r="B29" s="20" t="n"/>
      <c r="C29" s="20" t="n"/>
      <c r="D29" s="20" t="n"/>
    </row>
    <row r="30">
      <c r="A30" s="20" t="n"/>
      <c r="B30" s="20" t="n"/>
      <c r="C30" s="20" t="n"/>
      <c r="D30" s="20" t="n"/>
    </row>
    <row r="32">
      <c r="A32" t="inlineStr">
        <is>
          <t>Big irregular costs averaged per year (renovations, cars, gifts), in today's dollars, for the years start_year-end_year. Add rows above row 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2"/>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80" customWidth="1" min="17" max="17"/>
  </cols>
  <sheetData>
    <row r="1">
      <c r="A1" s="16" t="inlineStr">
        <is>
          <t>property</t>
        </is>
      </c>
      <c r="B1" s="16" t="inlineStr">
        <is>
          <t>type</t>
        </is>
      </c>
      <c r="C1" s="16" t="inlineStr">
        <is>
          <t>value_now</t>
        </is>
      </c>
      <c r="D1" s="16" t="inlineStr">
        <is>
          <t>appreciation</t>
        </is>
      </c>
      <c r="E1" s="16" t="inlineStr">
        <is>
          <t>selling_cost_pct</t>
        </is>
      </c>
      <c r="F1" s="16" t="inlineStr">
        <is>
          <t>cost_basis</t>
        </is>
      </c>
      <c r="G1" s="16" t="inlineStr">
        <is>
          <t>carrying_costs</t>
        </is>
      </c>
      <c r="H1" s="16" t="inlineStr">
        <is>
          <t>property_tax</t>
        </is>
      </c>
      <c r="I1" s="16" t="inlineStr">
        <is>
          <t>mortgage_balance</t>
        </is>
      </c>
      <c r="J1" s="16" t="inlineStr">
        <is>
          <t>mortgage_rate</t>
        </is>
      </c>
      <c r="K1" s="16" t="inlineStr">
        <is>
          <t>mortgage_payment</t>
        </is>
      </c>
      <c r="L1" s="16" t="inlineStr">
        <is>
          <t>rent</t>
        </is>
      </c>
      <c r="M1" s="16" t="inlineStr">
        <is>
          <t>cash_costs</t>
        </is>
      </c>
      <c r="N1" s="16" t="inlineStr">
        <is>
          <t>depreciation</t>
        </is>
      </c>
      <c r="O1" s="16" t="inlineStr">
        <is>
          <t>depreciation_end_year</t>
        </is>
      </c>
      <c r="P1" s="16" t="inlineStr">
        <is>
          <t>accum_depreciation</t>
        </is>
      </c>
      <c r="Q1" s="16" t="inlineStr">
        <is>
          <t>notes</t>
        </is>
      </c>
    </row>
    <row r="2">
      <c r="A2" s="20" t="inlineStr">
        <is>
          <t>Home (Saratoga Springs)</t>
        </is>
      </c>
      <c r="B2" s="24" t="inlineStr">
        <is>
          <t>primary</t>
        </is>
      </c>
      <c r="C2" s="8" t="n">
        <v>640000</v>
      </c>
      <c r="D2" s="11" t="n">
        <v>0.03</v>
      </c>
      <c r="E2" s="11" t="n">
        <v>0.07000000000000001</v>
      </c>
      <c r="F2" s="8" t="n">
        <v>410000</v>
      </c>
      <c r="G2" s="8" t="n">
        <v>15600</v>
      </c>
      <c r="H2" s="8" t="n">
        <v>11200</v>
      </c>
      <c r="I2" s="8" t="n">
        <v>262000</v>
      </c>
      <c r="J2" s="26" t="n">
        <v>0.0325</v>
      </c>
      <c r="K2" s="8" t="n">
        <v>22140</v>
      </c>
      <c r="L2" s="8" t="n"/>
      <c r="M2" s="8" t="n"/>
      <c r="N2" s="8" t="n"/>
      <c r="O2" s="20" t="n"/>
      <c r="P2" s="8" t="n"/>
      <c r="Q2" t="inlineStr">
        <is>
          <t>Bought 2012 for $380,000 + $30,000 kitchen. Carrying costs: property tax $11,200, insurance $2,400, other $2,000</t>
        </is>
      </c>
    </row>
    <row r="3">
      <c r="A3" s="20" t="inlineStr">
        <is>
          <t>Condo rental (Albany)</t>
        </is>
      </c>
      <c r="B3" s="20" t="inlineStr">
        <is>
          <t>rental</t>
        </is>
      </c>
      <c r="C3" s="8" t="n">
        <v>310000</v>
      </c>
      <c r="D3" s="11" t="n">
        <v>0.025</v>
      </c>
      <c r="E3" s="11" t="n">
        <v>0.07000000000000001</v>
      </c>
      <c r="F3" s="8" t="n">
        <v>245000</v>
      </c>
      <c r="G3" s="8" t="n"/>
      <c r="H3" s="8" t="n"/>
      <c r="I3" s="8" t="n"/>
      <c r="J3" s="26" t="n"/>
      <c r="K3" s="8" t="n"/>
      <c r="L3" s="8" t="n">
        <v>25200</v>
      </c>
      <c r="M3" s="8" t="n">
        <v>10400</v>
      </c>
      <c r="N3" s="8" t="n">
        <v>7100</v>
      </c>
      <c r="O3" s="20" t="n">
        <v>2045</v>
      </c>
      <c r="P3" s="8" t="n">
        <v>63900</v>
      </c>
      <c r="Q3" t="inlineStr">
        <is>
          <t>Bought 2018 for $245,000 ($50,000 land). Cash costs: HOA $4,800, tax $3,900, insurance $900, repairs $800</t>
        </is>
      </c>
    </row>
    <row r="4">
      <c r="A4" s="20" t="n"/>
      <c r="B4" s="20" t="n"/>
      <c r="C4" s="8" t="n"/>
      <c r="D4" s="11" t="n"/>
      <c r="E4" s="11" t="n"/>
      <c r="F4" s="8" t="n"/>
      <c r="G4" s="8" t="n"/>
      <c r="H4" s="8" t="n"/>
      <c r="I4" s="8" t="n"/>
      <c r="J4" s="26" t="n"/>
      <c r="K4" s="8" t="n"/>
      <c r="L4" s="8" t="n"/>
      <c r="M4" s="8" t="n"/>
      <c r="N4" s="8" t="n"/>
      <c r="O4" s="20" t="n"/>
      <c r="P4" s="8" t="n"/>
    </row>
    <row r="5">
      <c r="A5" s="20" t="n"/>
      <c r="B5" s="20" t="n"/>
      <c r="C5" s="8" t="n"/>
      <c r="D5" s="11" t="n"/>
      <c r="E5" s="11" t="n"/>
      <c r="F5" s="8" t="n"/>
      <c r="G5" s="8" t="n"/>
      <c r="H5" s="8" t="n"/>
      <c r="I5" s="8" t="n"/>
      <c r="J5" s="26" t="n"/>
      <c r="K5" s="8" t="n"/>
      <c r="L5" s="8" t="n"/>
      <c r="M5" s="8" t="n"/>
      <c r="N5" s="8" t="n"/>
      <c r="O5" s="20" t="n"/>
      <c r="P5" s="8" t="n"/>
    </row>
    <row r="6">
      <c r="A6" s="20" t="n"/>
      <c r="B6" s="20" t="n"/>
      <c r="C6" s="8" t="n"/>
      <c r="D6" s="11" t="n"/>
      <c r="E6" s="11" t="n"/>
      <c r="F6" s="8" t="n"/>
      <c r="G6" s="8" t="n"/>
      <c r="H6" s="8" t="n"/>
      <c r="I6" s="8" t="n"/>
      <c r="J6" s="26" t="n"/>
      <c r="K6" s="8" t="n"/>
      <c r="L6" s="8" t="n"/>
      <c r="M6" s="8" t="n"/>
      <c r="N6" s="8" t="n"/>
      <c r="O6" s="20" t="n"/>
      <c r="P6" s="8" t="n"/>
    </row>
    <row r="9">
      <c r="A9" t="inlineStr">
        <is>
          <t>Row 2 is your home (principal residence); rows 3-6 are other properties (rentals, a cottage). Sell / rent decisions are made on each Model tab. Amounts are today's dollars.</t>
        </is>
      </c>
    </row>
    <row r="10">
      <c r="A10" t="inlineStr">
        <is>
          <t>value_now: market value; appreciation: growth per year. carrying_costs: property tax + condo/HOA/strata fees + insurance + utilities you want counted as housing (for the home; if you rent, put the rent here and leave value_now blank). property_tax: the part that's property tax (deductible up to the SALT cap).</t>
        </is>
      </c>
    </row>
    <row r="11">
      <c r="A11" t="inlineStr">
        <is>
          <t>mortgage_*: the home's mortgage on 1 January of the first year (balance, interest rate, payments per year). Other properties are assumed mortgage-free: include any loan payments in cash_costs.</t>
        </is>
      </c>
    </row>
    <row r="12">
      <c r="A12" t="inlineStr">
        <is>
          <t>Other properties: rent and cash_costs per year; depreciation claimed per year until depreciation_end_year, and accum_depreciation already claimed. cost_basis is what you paid plus improvements.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80" customWidth="1" min="4" max="4"/>
    <col width="50" customWidth="1" min="5" max="5"/>
  </cols>
  <sheetData>
    <row r="1">
      <c r="A1" s="16" t="inlineStr">
        <is>
          <t>key</t>
        </is>
      </c>
      <c r="B1" s="16" t="inlineStr">
        <is>
          <t>value</t>
        </is>
      </c>
      <c r="C1" s="16" t="inlineStr">
        <is>
          <t>unit</t>
        </is>
      </c>
      <c r="D1" s="16" t="inlineStr">
        <is>
          <t>notes</t>
        </is>
      </c>
      <c r="E1" s="16" t="inlineStr">
        <is>
          <t>source</t>
        </is>
      </c>
    </row>
    <row r="2">
      <c r="A2" t="inlineStr">
        <is>
          <t>marketplace_adult_monthly</t>
        </is>
      </c>
      <c r="B2" s="20" t="n">
        <v>1150</v>
      </c>
      <c r="C2" t="inlineStr">
        <is>
          <t>$/month</t>
        </is>
      </c>
      <c r="D2" t="inlineStr">
        <is>
          <t>Unsubsidized Silver plan for a ~60-year-old. Check healthcare.gov or your state exchange; prices vary a lot by state and age (NY doesn't rate by age)</t>
        </is>
      </c>
      <c r="E2" t="inlineStr">
        <is>
          <t>healthcare.gov plan finder</t>
        </is>
      </c>
    </row>
    <row r="3">
      <c r="A3" t="inlineStr">
        <is>
          <t>marketplace_child_monthly</t>
        </is>
      </c>
      <c r="B3" s="20" t="n">
        <v>450</v>
      </c>
      <c r="C3" t="inlineStr">
        <is>
          <t>$/month</t>
        </is>
      </c>
      <c r="D3" t="inlineStr">
        <is>
          <t>Per child on your plan</t>
        </is>
      </c>
      <c r="E3" t="inlineStr">
        <is>
          <t>healthcare.gov plan finder</t>
        </is>
      </c>
    </row>
    <row r="4">
      <c r="A4" t="inlineStr">
        <is>
          <t>marketplace_oop_per_person</t>
        </is>
      </c>
      <c r="B4" s="20" t="n">
        <v>3000</v>
      </c>
      <c r="C4" t="inlineStr">
        <is>
          <t>$/year</t>
        </is>
      </c>
      <c r="D4" t="inlineStr">
        <is>
          <t>Deductibles and copays on a Silver plan</t>
        </is>
      </c>
    </row>
    <row r="5">
      <c r="A5" t="inlineStr">
        <is>
          <t>employer_plan_cost</t>
        </is>
      </c>
      <c r="B5" s="20" t="n">
        <v>9000</v>
      </c>
      <c r="C5" t="inlineStr">
        <is>
          <t>$/year</t>
        </is>
      </c>
      <c r="D5" t="inlineStr">
        <is>
          <t>Your share of premiums + out-of-pocket while working (the model uses it while either of you works)</t>
        </is>
      </c>
      <c r="E5" t="inlineStr">
        <is>
          <t>Pay stubs / benefits portal</t>
        </is>
      </c>
    </row>
    <row r="6">
      <c r="A6" t="inlineStr">
        <is>
          <t>medicare_part_b_monthly</t>
        </is>
      </c>
      <c r="B6" s="20" t="n">
        <v>202.9</v>
      </c>
      <c r="C6" t="inlineStr">
        <is>
          <t>$/month</t>
        </is>
      </c>
      <c r="D6" t="inlineStr">
        <is>
          <t>2026 standard Part B premium</t>
        </is>
      </c>
      <c r="E6" t="inlineStr">
        <is>
          <t>CMS</t>
        </is>
      </c>
    </row>
    <row r="7">
      <c r="A7" t="inlineStr">
        <is>
          <t>medicare_part_d_monthly</t>
        </is>
      </c>
      <c r="B7" s="20" t="n">
        <v>45</v>
      </c>
      <c r="C7" t="inlineStr">
        <is>
          <t>$/month</t>
        </is>
      </c>
      <c r="D7" t="inlineStr">
        <is>
          <t>Typical Part D plan</t>
        </is>
      </c>
      <c r="E7" t="inlineStr">
        <is>
          <t>medicare.gov plan finder</t>
        </is>
      </c>
    </row>
    <row r="8">
      <c r="A8" t="inlineStr">
        <is>
          <t>medigap_monthly</t>
        </is>
      </c>
      <c r="B8" s="20" t="n">
        <v>250</v>
      </c>
      <c r="C8" t="inlineStr">
        <is>
          <t>$/month</t>
        </is>
      </c>
      <c r="D8" t="inlineStr">
        <is>
          <t>Medigap Plan G around 65-70</t>
        </is>
      </c>
      <c r="E8" t="inlineStr">
        <is>
          <t>medicare.gov plan finder</t>
        </is>
      </c>
    </row>
    <row r="9">
      <c r="A9" t="inlineStr">
        <is>
          <t>medicare_oop_per_person</t>
        </is>
      </c>
      <c r="B9" s="20" t="n">
        <v>1500</v>
      </c>
      <c r="C9" t="inlineStr">
        <is>
          <t>$/year</t>
        </is>
      </c>
      <c r="D9" t="inlineStr">
        <is>
          <t>Part B deductible, dental, vision, hearing</t>
        </is>
      </c>
    </row>
    <row r="10">
      <c r="A10" t="inlineStr">
        <is>
          <t>medical_inflation</t>
        </is>
      </c>
      <c r="B10" s="11" t="n">
        <v>0.05</v>
      </c>
      <c r="C10" t="inlineStr">
        <is>
          <t>per year</t>
        </is>
      </c>
      <c r="D10" t="inlineStr">
        <is>
          <t>Healthcare costs have grown ~2 points faster than inflation</t>
        </is>
      </c>
    </row>
    <row r="11">
      <c r="A11" t="inlineStr">
        <is>
          <t>ltc_annual_cost</t>
        </is>
      </c>
      <c r="B11" s="20" t="n">
        <v>130000</v>
      </c>
      <c r="C11" t="inlineStr">
        <is>
          <t>$/year</t>
        </is>
      </c>
      <c r="D11" t="inlineStr">
        <is>
          <t>Home health aide or assisted living; a nursing home is ~$120-180k in the Northeast</t>
        </is>
      </c>
      <c r="E11" t="inlineStr">
        <is>
          <t>Genworth / CareScout cost of care survey</t>
        </is>
      </c>
    </row>
    <row r="12">
      <c r="A12" t="inlineStr">
        <is>
          <t>ltc_inflation</t>
        </is>
      </c>
      <c r="B12" s="11" t="n">
        <v>0.04</v>
      </c>
      <c r="C12" t="inlineStr">
        <is>
          <t>per year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50"/>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14" customWidth="1" min="3" max="3"/>
    <col width="11" customWidth="1" min="4" max="4"/>
    <col width="14" customWidth="1" min="5" max="5"/>
    <col width="70" customWidth="1" min="6" max="6"/>
    <col width="16" customWidth="1" min="8" max="8"/>
    <col width="14" customWidth="1" min="9" max="9"/>
    <col width="14" customWidth="1" min="10" max="10"/>
    <col width="70" customWidth="1" min="11" max="11"/>
  </cols>
  <sheetData>
    <row r="1">
      <c r="A1" s="16" t="inlineStr">
        <is>
          <t>account</t>
        </is>
      </c>
      <c r="B1" s="16" t="inlineStr">
        <is>
          <t>bucket</t>
        </is>
      </c>
      <c r="C1" s="16" t="inlineStr">
        <is>
          <t>value</t>
        </is>
      </c>
      <c r="D1" s="16" t="inlineStr">
        <is>
          <t>as_of</t>
        </is>
      </c>
      <c r="E1" s="16" t="inlineStr">
        <is>
          <t>cost_basis</t>
        </is>
      </c>
      <c r="F1" s="16" t="inlineStr">
        <is>
          <t>notes</t>
        </is>
      </c>
      <c r="H1" s="19" t="inlineStr">
        <is>
          <t>bucket</t>
        </is>
      </c>
      <c r="I1" s="19" t="inlineStr">
        <is>
          <t>total</t>
        </is>
      </c>
      <c r="J1" s="19" t="inlineStr">
        <is>
          <t>cost basis</t>
        </is>
      </c>
      <c r="K1" s="19" t="inlineStr">
        <is>
          <t>what goes in it</t>
        </is>
      </c>
    </row>
    <row r="2">
      <c r="A2" s="20" t="inlineStr">
        <is>
          <t>Brokerage (joint) - index funds</t>
        </is>
      </c>
      <c r="B2" s="20" t="inlineStr">
        <is>
          <t>taxable</t>
        </is>
      </c>
      <c r="C2" s="8" t="n">
        <v>880000</v>
      </c>
      <c r="D2" s="20" t="inlineStr">
        <is>
          <t>2027-01-01</t>
        </is>
      </c>
      <c r="E2" s="8" t="n">
        <v>560000</v>
      </c>
      <c r="H2" t="inlineStr">
        <is>
          <t>taxable</t>
        </is>
      </c>
      <c r="I2" s="15">
        <f>SUMIF($B$2:$B$150,"taxable",$C$2:$C$150)</f>
        <v/>
      </c>
      <c r="J2" s="15">
        <f>SUMIF($B$2:$B$150,"taxable",$E$2:$E$150)</f>
        <v/>
      </c>
      <c r="K2" t="inlineStr">
        <is>
          <t>Taxable brokerage accounts, bank and money-market cash</t>
        </is>
      </c>
    </row>
    <row r="3">
      <c r="A3" s="20" t="inlineStr">
        <is>
          <t>High-yield savings</t>
        </is>
      </c>
      <c r="B3" s="20" t="inlineStr">
        <is>
          <t>taxable</t>
        </is>
      </c>
      <c r="C3" s="8" t="n">
        <v>55000</v>
      </c>
      <c r="D3" s="20" t="inlineStr">
        <is>
          <t>2027-01-01</t>
        </is>
      </c>
      <c r="E3" s="8" t="n"/>
      <c r="F3" t="inlineStr">
        <is>
          <t>cash: cost basis = value</t>
        </is>
      </c>
      <c r="H3" t="inlineStr">
        <is>
          <t>pretax_p1</t>
        </is>
      </c>
      <c r="I3" s="15">
        <f>SUMIF($B$2:$B$150,"pretax_p1",$C$2:$C$150)</f>
        <v/>
      </c>
      <c r="K3" t="inlineStr">
        <is>
          <t>Person 1's 401(k), 403(b), traditional IRA, other pre-tax accounts</t>
        </is>
      </c>
    </row>
    <row r="4">
      <c r="A4" s="20" t="inlineStr">
        <is>
          <t>Checking</t>
        </is>
      </c>
      <c r="B4" s="20" t="inlineStr">
        <is>
          <t>taxable</t>
        </is>
      </c>
      <c r="C4" s="8" t="n">
        <v>15000</v>
      </c>
      <c r="D4" s="20" t="inlineStr">
        <is>
          <t>2027-01-01</t>
        </is>
      </c>
      <c r="E4" s="8" t="n"/>
      <c r="H4" t="inlineStr">
        <is>
          <t>pretax_p2</t>
        </is>
      </c>
      <c r="I4" s="15">
        <f>SUMIF($B$2:$B$150,"pretax_p2",$C$2:$C$150)</f>
        <v/>
      </c>
      <c r="K4" t="inlineStr">
        <is>
          <t>Person 2's pre-tax accounts</t>
        </is>
      </c>
    </row>
    <row r="5">
      <c r="A5" s="20" t="inlineStr">
        <is>
          <t>Alex 401(k)</t>
        </is>
      </c>
      <c r="B5" s="20" t="inlineStr">
        <is>
          <t>pretax_p1</t>
        </is>
      </c>
      <c r="C5" s="8" t="n">
        <v>1150000</v>
      </c>
      <c r="D5" s="20" t="inlineStr">
        <is>
          <t>2027-01-01</t>
        </is>
      </c>
      <c r="E5" s="8" t="n"/>
      <c r="H5" t="inlineStr">
        <is>
          <t>roth</t>
        </is>
      </c>
      <c r="I5" s="15">
        <f>SUMIF($B$2:$B$150,"roth",$C$2:$C$150)</f>
        <v/>
      </c>
      <c r="K5" t="inlineStr">
        <is>
          <t>Roth IRAs and Roth 401(k)s (either person)</t>
        </is>
      </c>
    </row>
    <row r="6">
      <c r="A6" s="20" t="inlineStr">
        <is>
          <t>Alex rollover IRA</t>
        </is>
      </c>
      <c r="B6" s="20" t="inlineStr">
        <is>
          <t>pretax_p1</t>
        </is>
      </c>
      <c r="C6" s="8" t="n">
        <v>210000</v>
      </c>
      <c r="D6" s="20" t="inlineStr">
        <is>
          <t>2027-01-01</t>
        </is>
      </c>
      <c r="E6" s="8" t="n"/>
      <c r="H6" t="inlineStr">
        <is>
          <t>hsa</t>
        </is>
      </c>
      <c r="I6" s="15">
        <f>SUMIF($B$2:$B$150,"hsa",$C$2:$C$150)</f>
        <v/>
      </c>
      <c r="K6" t="inlineStr">
        <is>
          <t>Health savings accounts</t>
        </is>
      </c>
    </row>
    <row r="7">
      <c r="A7" s="20" t="inlineStr">
        <is>
          <t>Jordan 403(b)</t>
        </is>
      </c>
      <c r="B7" s="20" t="inlineStr">
        <is>
          <t>pretax_p2</t>
        </is>
      </c>
      <c r="C7" s="8" t="n">
        <v>540000</v>
      </c>
      <c r="D7" s="20" t="inlineStr">
        <is>
          <t>2027-01-01</t>
        </is>
      </c>
      <c r="E7" s="8" t="n"/>
      <c r="H7" t="inlineStr">
        <is>
          <t>college_529</t>
        </is>
      </c>
      <c r="I7" s="15">
        <f>SUMIF($B$2:$B$150,"college_529",$C$2:$C$150)</f>
        <v/>
      </c>
      <c r="K7" t="inlineStr">
        <is>
          <t>529 plans and other money set aside for the kids' college (not counted as yours)</t>
        </is>
      </c>
    </row>
    <row r="8">
      <c r="A8" s="20" t="inlineStr">
        <is>
          <t>Alex Roth IRA</t>
        </is>
      </c>
      <c r="B8" s="20" t="inlineStr">
        <is>
          <t>roth</t>
        </is>
      </c>
      <c r="C8" s="8" t="n">
        <v>95000</v>
      </c>
      <c r="D8" s="20" t="inlineStr">
        <is>
          <t>2027-01-01</t>
        </is>
      </c>
      <c r="E8" s="8" t="n"/>
      <c r="H8" t="inlineStr">
        <is>
          <t>not_modeled</t>
        </is>
      </c>
      <c r="I8" s="15">
        <f>SUMIF($B$2:$B$150,"not_modeled",$C$2:$C$150)</f>
        <v/>
      </c>
      <c r="K8" t="inlineStr">
        <is>
          <t>Anything the model should ignore (cars, collectibles, a business)</t>
        </is>
      </c>
    </row>
    <row r="9">
      <c r="A9" s="20" t="inlineStr">
        <is>
          <t>Jordan Roth IRA</t>
        </is>
      </c>
      <c r="B9" s="20" t="inlineStr">
        <is>
          <t>roth</t>
        </is>
      </c>
      <c r="C9" s="8" t="n">
        <v>62000</v>
      </c>
      <c r="D9" s="20" t="inlineStr">
        <is>
          <t>2027-01-01</t>
        </is>
      </c>
      <c r="E9" s="8" t="n"/>
    </row>
    <row r="10">
      <c r="A10" s="20" t="inlineStr">
        <is>
          <t>HSA</t>
        </is>
      </c>
      <c r="B10" s="20" t="inlineStr">
        <is>
          <t>hsa</t>
        </is>
      </c>
      <c r="C10" s="8" t="n">
        <v>48000</v>
      </c>
      <c r="D10" s="20" t="inlineStr">
        <is>
          <t>2027-01-01</t>
        </is>
      </c>
      <c r="E10" s="8" t="n"/>
      <c r="H10" t="inlineStr">
        <is>
          <t>One row per account, balance as of 1 January of the first year. cost_basis matters only for taxable accounts (blank = same as value, e.g. cash).</t>
        </is>
      </c>
    </row>
    <row r="11">
      <c r="A11" s="20" t="inlineStr">
        <is>
          <t>Riley 529</t>
        </is>
      </c>
      <c r="B11" s="20" t="inlineStr">
        <is>
          <t>college_529</t>
        </is>
      </c>
      <c r="C11" s="8" t="n">
        <v>115000</v>
      </c>
      <c r="D11" s="20" t="inlineStr">
        <is>
          <t>2027-01-01</t>
        </is>
      </c>
      <c r="E11" s="8" t="n"/>
    </row>
    <row r="12">
      <c r="A12" s="20" t="inlineStr">
        <is>
          <t>Casey 529</t>
        </is>
      </c>
      <c r="B12" s="20" t="inlineStr">
        <is>
          <t>college_529</t>
        </is>
      </c>
      <c r="C12" s="8" t="n">
        <v>130000</v>
      </c>
      <c r="D12" s="20" t="inlineStr">
        <is>
          <t>2027-01-01</t>
        </is>
      </c>
      <c r="E12" s="8" t="n"/>
    </row>
    <row r="13">
      <c r="A13" s="20" t="inlineStr">
        <is>
          <t>Cars</t>
        </is>
      </c>
      <c r="B13" s="20" t="inlineStr">
        <is>
          <t>not_modeled</t>
        </is>
      </c>
      <c r="C13" s="8" t="n">
        <v>35000</v>
      </c>
      <c r="D13" s="20" t="inlineStr">
        <is>
          <t>2027-01-01</t>
        </is>
      </c>
      <c r="E13" s="8" t="n"/>
      <c r="F13" t="inlineStr">
        <is>
          <t>Not investments</t>
        </is>
      </c>
    </row>
    <row r="14">
      <c r="A14" s="20" t="n"/>
      <c r="B14" s="20" t="n"/>
      <c r="C14" s="20" t="n"/>
      <c r="D14" s="20" t="n"/>
      <c r="E14" s="20" t="n"/>
    </row>
    <row r="15">
      <c r="A15" s="20" t="n"/>
      <c r="B15" s="20" t="n"/>
      <c r="C15" s="20" t="n"/>
      <c r="D15" s="20" t="n"/>
      <c r="E15" s="20" t="n"/>
    </row>
    <row r="16">
      <c r="A16" s="20" t="n"/>
      <c r="B16" s="20" t="n"/>
      <c r="C16" s="20" t="n"/>
      <c r="D16" s="20" t="n"/>
      <c r="E16" s="20" t="n"/>
    </row>
    <row r="17">
      <c r="A17" s="20" t="n"/>
      <c r="B17" s="20" t="n"/>
      <c r="C17" s="20" t="n"/>
      <c r="D17" s="20" t="n"/>
      <c r="E17" s="20" t="n"/>
    </row>
    <row r="18">
      <c r="A18" s="20" t="n"/>
      <c r="B18" s="20" t="n"/>
      <c r="C18" s="20" t="n"/>
      <c r="D18" s="20" t="n"/>
      <c r="E18" s="20" t="n"/>
    </row>
    <row r="19">
      <c r="A19" s="20" t="n"/>
      <c r="B19" s="20" t="n"/>
      <c r="C19" s="20" t="n"/>
      <c r="D19" s="20" t="n"/>
      <c r="E19" s="20" t="n"/>
    </row>
    <row r="20">
      <c r="A20" s="20" t="n"/>
      <c r="B20" s="20" t="n"/>
      <c r="C20" s="20" t="n"/>
      <c r="D20" s="20" t="n"/>
      <c r="E20" s="20" t="n"/>
    </row>
    <row r="21">
      <c r="A21" s="20" t="n"/>
      <c r="B21" s="20" t="n"/>
      <c r="C21" s="20" t="n"/>
      <c r="D21" s="20" t="n"/>
      <c r="E21" s="20" t="n"/>
    </row>
    <row r="22">
      <c r="A22" s="20" t="n"/>
      <c r="B22" s="20" t="n"/>
      <c r="C22" s="20" t="n"/>
      <c r="D22" s="20" t="n"/>
      <c r="E22" s="20" t="n"/>
    </row>
    <row r="23">
      <c r="A23" s="20" t="n"/>
      <c r="B23" s="20" t="n"/>
      <c r="C23" s="20" t="n"/>
      <c r="D23" s="20" t="n"/>
      <c r="E23" s="20" t="n"/>
    </row>
    <row r="24">
      <c r="A24" s="20" t="n"/>
      <c r="B24" s="20" t="n"/>
      <c r="C24" s="20" t="n"/>
      <c r="D24" s="20" t="n"/>
      <c r="E24" s="20" t="n"/>
    </row>
    <row r="25">
      <c r="A25" s="20" t="n"/>
      <c r="B25" s="20" t="n"/>
      <c r="C25" s="20" t="n"/>
      <c r="D25" s="20" t="n"/>
      <c r="E25" s="20" t="n"/>
    </row>
    <row r="26">
      <c r="A26" s="20" t="n"/>
      <c r="B26" s="20" t="n"/>
      <c r="C26" s="20" t="n"/>
      <c r="D26" s="20" t="n"/>
      <c r="E26" s="20" t="n"/>
    </row>
    <row r="27">
      <c r="A27" s="20" t="n"/>
      <c r="B27" s="20" t="n"/>
      <c r="C27" s="20" t="n"/>
      <c r="D27" s="20" t="n"/>
      <c r="E27" s="20" t="n"/>
    </row>
    <row r="28">
      <c r="A28" s="20" t="n"/>
      <c r="B28" s="20" t="n"/>
      <c r="C28" s="20" t="n"/>
      <c r="D28" s="20" t="n"/>
      <c r="E28" s="20" t="n"/>
    </row>
    <row r="29">
      <c r="A29" s="20" t="n"/>
      <c r="B29" s="20" t="n"/>
      <c r="C29" s="20" t="n"/>
      <c r="D29" s="20" t="n"/>
      <c r="E29" s="20" t="n"/>
    </row>
    <row r="30">
      <c r="A30" s="20" t="n"/>
      <c r="B30" s="20" t="n"/>
      <c r="C30" s="20" t="n"/>
      <c r="D30" s="20" t="n"/>
      <c r="E30" s="20" t="n"/>
    </row>
    <row r="31">
      <c r="A31" s="20" t="n"/>
      <c r="B31" s="20" t="n"/>
      <c r="C31" s="20" t="n"/>
      <c r="D31" s="20" t="n"/>
      <c r="E31" s="20" t="n"/>
    </row>
    <row r="32">
      <c r="A32" s="20" t="n"/>
      <c r="B32" s="20" t="n"/>
      <c r="C32" s="20" t="n"/>
      <c r="D32" s="20" t="n"/>
      <c r="E32" s="20" t="n"/>
    </row>
    <row r="33">
      <c r="A33" s="20" t="n"/>
      <c r="B33" s="20" t="n"/>
      <c r="C33" s="20" t="n"/>
      <c r="D33" s="20" t="n"/>
      <c r="E33" s="20" t="n"/>
    </row>
    <row r="34">
      <c r="A34" s="20" t="n"/>
      <c r="B34" s="20" t="n"/>
      <c r="C34" s="20" t="n"/>
      <c r="D34" s="20" t="n"/>
      <c r="E34" s="20" t="n"/>
    </row>
    <row r="35">
      <c r="A35" s="20" t="n"/>
      <c r="B35" s="20" t="n"/>
      <c r="C35" s="20" t="n"/>
      <c r="D35" s="20" t="n"/>
      <c r="E35" s="20" t="n"/>
    </row>
    <row r="36">
      <c r="A36" s="20" t="n"/>
      <c r="B36" s="20" t="n"/>
      <c r="C36" s="20" t="n"/>
      <c r="D36" s="20" t="n"/>
      <c r="E36" s="20" t="n"/>
    </row>
    <row r="37">
      <c r="A37" s="20" t="n"/>
      <c r="B37" s="20" t="n"/>
      <c r="C37" s="20" t="n"/>
      <c r="D37" s="20" t="n"/>
      <c r="E37" s="20" t="n"/>
    </row>
    <row r="38">
      <c r="A38" s="20" t="n"/>
      <c r="B38" s="20" t="n"/>
      <c r="C38" s="20" t="n"/>
      <c r="D38" s="20" t="n"/>
      <c r="E38" s="20" t="n"/>
    </row>
    <row r="39">
      <c r="A39" s="20" t="n"/>
      <c r="B39" s="20" t="n"/>
      <c r="C39" s="20" t="n"/>
      <c r="D39" s="20" t="n"/>
      <c r="E39" s="20" t="n"/>
    </row>
    <row r="40">
      <c r="A40" s="20" t="n"/>
      <c r="B40" s="20" t="n"/>
      <c r="C40" s="20" t="n"/>
      <c r="D40" s="20" t="n"/>
      <c r="E40" s="20" t="n"/>
    </row>
    <row r="41">
      <c r="A41" s="20" t="n"/>
      <c r="B41" s="20" t="n"/>
      <c r="C41" s="20" t="n"/>
      <c r="D41" s="20" t="n"/>
      <c r="E41" s="20" t="n"/>
    </row>
    <row r="42">
      <c r="A42" s="20" t="n"/>
      <c r="B42" s="20" t="n"/>
      <c r="C42" s="20" t="n"/>
      <c r="D42" s="20" t="n"/>
      <c r="E42" s="20" t="n"/>
    </row>
    <row r="43">
      <c r="A43" s="20" t="n"/>
      <c r="B43" s="20" t="n"/>
      <c r="C43" s="20" t="n"/>
      <c r="D43" s="20" t="n"/>
      <c r="E43" s="20" t="n"/>
    </row>
    <row r="44">
      <c r="A44" s="20" t="n"/>
      <c r="B44" s="20" t="n"/>
      <c r="C44" s="20" t="n"/>
      <c r="D44" s="20" t="n"/>
      <c r="E44" s="20" t="n"/>
    </row>
    <row r="45">
      <c r="A45" s="20" t="n"/>
      <c r="B45" s="20" t="n"/>
      <c r="C45" s="20" t="n"/>
      <c r="D45" s="20" t="n"/>
      <c r="E45" s="20" t="n"/>
    </row>
    <row r="46">
      <c r="A46" s="20" t="n"/>
      <c r="B46" s="20" t="n"/>
      <c r="C46" s="20" t="n"/>
      <c r="D46" s="20" t="n"/>
      <c r="E46" s="20" t="n"/>
    </row>
    <row r="47">
      <c r="A47" s="20" t="n"/>
      <c r="B47" s="20" t="n"/>
      <c r="C47" s="20" t="n"/>
      <c r="D47" s="20" t="n"/>
      <c r="E47" s="20" t="n"/>
    </row>
    <row r="48">
      <c r="A48" s="20" t="n"/>
      <c r="B48" s="20" t="n"/>
      <c r="C48" s="20" t="n"/>
      <c r="D48" s="20" t="n"/>
      <c r="E48" s="20" t="n"/>
    </row>
    <row r="49">
      <c r="A49" s="20" t="n"/>
      <c r="B49" s="20" t="n"/>
      <c r="C49" s="20" t="n"/>
      <c r="D49" s="20" t="n"/>
      <c r="E49" s="20" t="n"/>
    </row>
    <row r="50">
      <c r="A50" s="20" t="n"/>
      <c r="B50" s="20" t="n"/>
      <c r="C50" s="20" t="n"/>
      <c r="D50" s="20" t="n"/>
      <c r="E50" s="20" t="n"/>
    </row>
    <row r="51">
      <c r="A51" s="20" t="n"/>
      <c r="B51" s="20" t="n"/>
      <c r="C51" s="20" t="n"/>
      <c r="D51" s="20" t="n"/>
      <c r="E51" s="20" t="n"/>
    </row>
    <row r="52">
      <c r="A52" s="20" t="n"/>
      <c r="B52" s="20" t="n"/>
      <c r="C52" s="20" t="n"/>
      <c r="D52" s="20" t="n"/>
      <c r="E52" s="20" t="n"/>
    </row>
    <row r="53">
      <c r="A53" s="20" t="n"/>
      <c r="B53" s="20" t="n"/>
      <c r="C53" s="20" t="n"/>
      <c r="D53" s="20" t="n"/>
      <c r="E53" s="20" t="n"/>
    </row>
    <row r="54">
      <c r="A54" s="20" t="n"/>
      <c r="B54" s="20" t="n"/>
      <c r="C54" s="20" t="n"/>
      <c r="D54" s="20" t="n"/>
      <c r="E54" s="20" t="n"/>
    </row>
    <row r="55">
      <c r="A55" s="20" t="n"/>
      <c r="B55" s="20" t="n"/>
      <c r="C55" s="20" t="n"/>
      <c r="D55" s="20" t="n"/>
      <c r="E55" s="20" t="n"/>
    </row>
    <row r="56">
      <c r="A56" s="20" t="n"/>
      <c r="B56" s="20" t="n"/>
      <c r="C56" s="20" t="n"/>
      <c r="D56" s="20" t="n"/>
      <c r="E56" s="20" t="n"/>
    </row>
    <row r="57">
      <c r="A57" s="20" t="n"/>
      <c r="B57" s="20" t="n"/>
      <c r="C57" s="20" t="n"/>
      <c r="D57" s="20" t="n"/>
      <c r="E57" s="20" t="n"/>
    </row>
    <row r="58">
      <c r="A58" s="20" t="n"/>
      <c r="B58" s="20" t="n"/>
      <c r="C58" s="20" t="n"/>
      <c r="D58" s="20" t="n"/>
      <c r="E58" s="20" t="n"/>
    </row>
    <row r="59">
      <c r="A59" s="20" t="n"/>
      <c r="B59" s="20" t="n"/>
      <c r="C59" s="20" t="n"/>
      <c r="D59" s="20" t="n"/>
      <c r="E59" s="20" t="n"/>
    </row>
    <row r="60">
      <c r="A60" s="20" t="n"/>
      <c r="B60" s="20" t="n"/>
      <c r="C60" s="20" t="n"/>
      <c r="D60" s="20" t="n"/>
      <c r="E60" s="20" t="n"/>
    </row>
    <row r="61">
      <c r="A61" s="20" t="n"/>
      <c r="B61" s="20" t="n"/>
      <c r="C61" s="20" t="n"/>
      <c r="D61" s="20" t="n"/>
      <c r="E61" s="20" t="n"/>
    </row>
    <row r="62">
      <c r="A62" s="20" t="n"/>
      <c r="B62" s="20" t="n"/>
      <c r="C62" s="20" t="n"/>
      <c r="D62" s="20" t="n"/>
      <c r="E62" s="20" t="n"/>
    </row>
    <row r="63">
      <c r="A63" s="20" t="n"/>
      <c r="B63" s="20" t="n"/>
      <c r="C63" s="20" t="n"/>
      <c r="D63" s="20" t="n"/>
      <c r="E63" s="20" t="n"/>
    </row>
    <row r="64">
      <c r="A64" s="20" t="n"/>
      <c r="B64" s="20" t="n"/>
      <c r="C64" s="20" t="n"/>
      <c r="D64" s="20" t="n"/>
      <c r="E64" s="20" t="n"/>
    </row>
    <row r="65">
      <c r="A65" s="20" t="n"/>
      <c r="B65" s="20" t="n"/>
      <c r="C65" s="20" t="n"/>
      <c r="D65" s="20" t="n"/>
      <c r="E65" s="20" t="n"/>
    </row>
    <row r="66">
      <c r="A66" s="20" t="n"/>
      <c r="B66" s="20" t="n"/>
      <c r="C66" s="20" t="n"/>
      <c r="D66" s="20" t="n"/>
      <c r="E66" s="20" t="n"/>
    </row>
    <row r="67">
      <c r="A67" s="20" t="n"/>
      <c r="B67" s="20" t="n"/>
      <c r="C67" s="20" t="n"/>
      <c r="D67" s="20" t="n"/>
      <c r="E67" s="20" t="n"/>
    </row>
    <row r="68">
      <c r="A68" s="20" t="n"/>
      <c r="B68" s="20" t="n"/>
      <c r="C68" s="20" t="n"/>
      <c r="D68" s="20" t="n"/>
      <c r="E68" s="20" t="n"/>
    </row>
    <row r="69">
      <c r="A69" s="20" t="n"/>
      <c r="B69" s="20" t="n"/>
      <c r="C69" s="20" t="n"/>
      <c r="D69" s="20" t="n"/>
      <c r="E69" s="20" t="n"/>
    </row>
    <row r="70">
      <c r="A70" s="20" t="n"/>
      <c r="B70" s="20" t="n"/>
      <c r="C70" s="20" t="n"/>
      <c r="D70" s="20" t="n"/>
      <c r="E70" s="20" t="n"/>
    </row>
    <row r="71">
      <c r="A71" s="20" t="n"/>
      <c r="B71" s="20" t="n"/>
      <c r="C71" s="20" t="n"/>
      <c r="D71" s="20" t="n"/>
      <c r="E71" s="20" t="n"/>
    </row>
    <row r="72">
      <c r="A72" s="20" t="n"/>
      <c r="B72" s="20" t="n"/>
      <c r="C72" s="20" t="n"/>
      <c r="D72" s="20" t="n"/>
      <c r="E72" s="20" t="n"/>
    </row>
    <row r="73">
      <c r="A73" s="20" t="n"/>
      <c r="B73" s="20" t="n"/>
      <c r="C73" s="20" t="n"/>
      <c r="D73" s="20" t="n"/>
      <c r="E73" s="20" t="n"/>
    </row>
    <row r="74">
      <c r="A74" s="20" t="n"/>
      <c r="B74" s="20" t="n"/>
      <c r="C74" s="20" t="n"/>
      <c r="D74" s="20" t="n"/>
      <c r="E74" s="20" t="n"/>
    </row>
    <row r="75">
      <c r="A75" s="20" t="n"/>
      <c r="B75" s="20" t="n"/>
      <c r="C75" s="20" t="n"/>
      <c r="D75" s="20" t="n"/>
      <c r="E75" s="20" t="n"/>
    </row>
    <row r="76">
      <c r="A76" s="20" t="n"/>
      <c r="B76" s="20" t="n"/>
      <c r="C76" s="20" t="n"/>
      <c r="D76" s="20" t="n"/>
      <c r="E76" s="20" t="n"/>
    </row>
    <row r="77">
      <c r="A77" s="20" t="n"/>
      <c r="B77" s="20" t="n"/>
      <c r="C77" s="20" t="n"/>
      <c r="D77" s="20" t="n"/>
      <c r="E77" s="20" t="n"/>
    </row>
    <row r="78">
      <c r="A78" s="20" t="n"/>
      <c r="B78" s="20" t="n"/>
      <c r="C78" s="20" t="n"/>
      <c r="D78" s="20" t="n"/>
      <c r="E78" s="20" t="n"/>
    </row>
    <row r="79">
      <c r="A79" s="20" t="n"/>
      <c r="B79" s="20" t="n"/>
      <c r="C79" s="20" t="n"/>
      <c r="D79" s="20" t="n"/>
      <c r="E79" s="20" t="n"/>
    </row>
    <row r="80">
      <c r="A80" s="20" t="n"/>
      <c r="B80" s="20" t="n"/>
      <c r="C80" s="20" t="n"/>
      <c r="D80" s="20" t="n"/>
      <c r="E80" s="20" t="n"/>
    </row>
    <row r="81">
      <c r="A81" s="20" t="n"/>
      <c r="B81" s="20" t="n"/>
      <c r="C81" s="20" t="n"/>
      <c r="D81" s="20" t="n"/>
      <c r="E81" s="20" t="n"/>
    </row>
    <row r="82">
      <c r="A82" s="20" t="n"/>
      <c r="B82" s="20" t="n"/>
      <c r="C82" s="20" t="n"/>
      <c r="D82" s="20" t="n"/>
      <c r="E82" s="20" t="n"/>
    </row>
    <row r="83">
      <c r="A83" s="20" t="n"/>
      <c r="B83" s="20" t="n"/>
      <c r="C83" s="20" t="n"/>
      <c r="D83" s="20" t="n"/>
      <c r="E83" s="20" t="n"/>
    </row>
    <row r="84">
      <c r="A84" s="20" t="n"/>
      <c r="B84" s="20" t="n"/>
      <c r="C84" s="20" t="n"/>
      <c r="D84" s="20" t="n"/>
      <c r="E84" s="20" t="n"/>
    </row>
    <row r="85">
      <c r="A85" s="20" t="n"/>
      <c r="B85" s="20" t="n"/>
      <c r="C85" s="20" t="n"/>
      <c r="D85" s="20" t="n"/>
      <c r="E85" s="20" t="n"/>
    </row>
    <row r="86">
      <c r="A86" s="20" t="n"/>
      <c r="B86" s="20" t="n"/>
      <c r="C86" s="20" t="n"/>
      <c r="D86" s="20" t="n"/>
      <c r="E86" s="20" t="n"/>
    </row>
    <row r="87">
      <c r="A87" s="20" t="n"/>
      <c r="B87" s="20" t="n"/>
      <c r="C87" s="20" t="n"/>
      <c r="D87" s="20" t="n"/>
      <c r="E87" s="20" t="n"/>
    </row>
    <row r="88">
      <c r="A88" s="20" t="n"/>
      <c r="B88" s="20" t="n"/>
      <c r="C88" s="20" t="n"/>
      <c r="D88" s="20" t="n"/>
      <c r="E88" s="20" t="n"/>
    </row>
    <row r="89">
      <c r="A89" s="20" t="n"/>
      <c r="B89" s="20" t="n"/>
      <c r="C89" s="20" t="n"/>
      <c r="D89" s="20" t="n"/>
      <c r="E89" s="20" t="n"/>
    </row>
    <row r="90">
      <c r="A90" s="20" t="n"/>
      <c r="B90" s="20" t="n"/>
      <c r="C90" s="20" t="n"/>
      <c r="D90" s="20" t="n"/>
      <c r="E90" s="20" t="n"/>
    </row>
    <row r="91">
      <c r="A91" s="20" t="n"/>
      <c r="B91" s="20" t="n"/>
      <c r="C91" s="20" t="n"/>
      <c r="D91" s="20" t="n"/>
      <c r="E91" s="20" t="n"/>
    </row>
    <row r="92">
      <c r="A92" s="20" t="n"/>
      <c r="B92" s="20" t="n"/>
      <c r="C92" s="20" t="n"/>
      <c r="D92" s="20" t="n"/>
      <c r="E92" s="20" t="n"/>
    </row>
    <row r="93">
      <c r="A93" s="20" t="n"/>
      <c r="B93" s="20" t="n"/>
      <c r="C93" s="20" t="n"/>
      <c r="D93" s="20" t="n"/>
      <c r="E93" s="20" t="n"/>
    </row>
    <row r="94">
      <c r="A94" s="20" t="n"/>
      <c r="B94" s="20" t="n"/>
      <c r="C94" s="20" t="n"/>
      <c r="D94" s="20" t="n"/>
      <c r="E94" s="20" t="n"/>
    </row>
    <row r="95">
      <c r="A95" s="20" t="n"/>
      <c r="B95" s="20" t="n"/>
      <c r="C95" s="20" t="n"/>
      <c r="D95" s="20" t="n"/>
      <c r="E95" s="20" t="n"/>
    </row>
    <row r="96">
      <c r="A96" s="20" t="n"/>
      <c r="B96" s="20" t="n"/>
      <c r="C96" s="20" t="n"/>
      <c r="D96" s="20" t="n"/>
      <c r="E96" s="20" t="n"/>
    </row>
    <row r="97">
      <c r="A97" s="20" t="n"/>
      <c r="B97" s="20" t="n"/>
      <c r="C97" s="20" t="n"/>
      <c r="D97" s="20" t="n"/>
      <c r="E97" s="20" t="n"/>
    </row>
    <row r="98">
      <c r="A98" s="20" t="n"/>
      <c r="B98" s="20" t="n"/>
      <c r="C98" s="20" t="n"/>
      <c r="D98" s="20" t="n"/>
      <c r="E98" s="20" t="n"/>
    </row>
    <row r="99">
      <c r="A99" s="20" t="n"/>
      <c r="B99" s="20" t="n"/>
      <c r="C99" s="20" t="n"/>
      <c r="D99" s="20" t="n"/>
      <c r="E99" s="20" t="n"/>
    </row>
    <row r="100">
      <c r="A100" s="20" t="n"/>
      <c r="B100" s="20" t="n"/>
      <c r="C100" s="20" t="n"/>
      <c r="D100" s="20" t="n"/>
      <c r="E100" s="20" t="n"/>
    </row>
    <row r="101">
      <c r="A101" s="20" t="n"/>
      <c r="B101" s="20" t="n"/>
      <c r="C101" s="20" t="n"/>
      <c r="D101" s="20" t="n"/>
      <c r="E101" s="20" t="n"/>
    </row>
    <row r="102">
      <c r="A102" s="20" t="n"/>
      <c r="B102" s="20" t="n"/>
      <c r="C102" s="20" t="n"/>
      <c r="D102" s="20" t="n"/>
      <c r="E102" s="20" t="n"/>
    </row>
    <row r="103">
      <c r="A103" s="20" t="n"/>
      <c r="B103" s="20" t="n"/>
      <c r="C103" s="20" t="n"/>
      <c r="D103" s="20" t="n"/>
      <c r="E103" s="20" t="n"/>
    </row>
    <row r="104">
      <c r="A104" s="20" t="n"/>
      <c r="B104" s="20" t="n"/>
      <c r="C104" s="20" t="n"/>
      <c r="D104" s="20" t="n"/>
      <c r="E104" s="20" t="n"/>
    </row>
    <row r="105">
      <c r="A105" s="20" t="n"/>
      <c r="B105" s="20" t="n"/>
      <c r="C105" s="20" t="n"/>
      <c r="D105" s="20" t="n"/>
      <c r="E105" s="20" t="n"/>
    </row>
    <row r="106">
      <c r="A106" s="20" t="n"/>
      <c r="B106" s="20" t="n"/>
      <c r="C106" s="20" t="n"/>
      <c r="D106" s="20" t="n"/>
      <c r="E106" s="20" t="n"/>
    </row>
    <row r="107">
      <c r="A107" s="20" t="n"/>
      <c r="B107" s="20" t="n"/>
      <c r="C107" s="20" t="n"/>
      <c r="D107" s="20" t="n"/>
      <c r="E107" s="20" t="n"/>
    </row>
    <row r="108">
      <c r="A108" s="20" t="n"/>
      <c r="B108" s="20" t="n"/>
      <c r="C108" s="20" t="n"/>
      <c r="D108" s="20" t="n"/>
      <c r="E108" s="20" t="n"/>
    </row>
    <row r="109">
      <c r="A109" s="20" t="n"/>
      <c r="B109" s="20" t="n"/>
      <c r="C109" s="20" t="n"/>
      <c r="D109" s="20" t="n"/>
      <c r="E109" s="20" t="n"/>
    </row>
    <row r="110">
      <c r="A110" s="20" t="n"/>
      <c r="B110" s="20" t="n"/>
      <c r="C110" s="20" t="n"/>
      <c r="D110" s="20" t="n"/>
      <c r="E110" s="20" t="n"/>
    </row>
    <row r="111">
      <c r="A111" s="20" t="n"/>
      <c r="B111" s="20" t="n"/>
      <c r="C111" s="20" t="n"/>
      <c r="D111" s="20" t="n"/>
      <c r="E111" s="20" t="n"/>
    </row>
    <row r="112">
      <c r="A112" s="20" t="n"/>
      <c r="B112" s="20" t="n"/>
      <c r="C112" s="20" t="n"/>
      <c r="D112" s="20" t="n"/>
      <c r="E112" s="20" t="n"/>
    </row>
    <row r="113">
      <c r="A113" s="20" t="n"/>
      <c r="B113" s="20" t="n"/>
      <c r="C113" s="20" t="n"/>
      <c r="D113" s="20" t="n"/>
      <c r="E113" s="20" t="n"/>
    </row>
    <row r="114">
      <c r="A114" s="20" t="n"/>
      <c r="B114" s="20" t="n"/>
      <c r="C114" s="20" t="n"/>
      <c r="D114" s="20" t="n"/>
      <c r="E114" s="20" t="n"/>
    </row>
    <row r="115">
      <c r="A115" s="20" t="n"/>
      <c r="B115" s="20" t="n"/>
      <c r="C115" s="20" t="n"/>
      <c r="D115" s="20" t="n"/>
      <c r="E115" s="20" t="n"/>
    </row>
    <row r="116">
      <c r="A116" s="20" t="n"/>
      <c r="B116" s="20" t="n"/>
      <c r="C116" s="20" t="n"/>
      <c r="D116" s="20" t="n"/>
      <c r="E116" s="20" t="n"/>
    </row>
    <row r="117">
      <c r="A117" s="20" t="n"/>
      <c r="B117" s="20" t="n"/>
      <c r="C117" s="20" t="n"/>
      <c r="D117" s="20" t="n"/>
      <c r="E117" s="20" t="n"/>
    </row>
    <row r="118">
      <c r="A118" s="20" t="n"/>
      <c r="B118" s="20" t="n"/>
      <c r="C118" s="20" t="n"/>
      <c r="D118" s="20" t="n"/>
      <c r="E118" s="20" t="n"/>
    </row>
    <row r="119">
      <c r="A119" s="20" t="n"/>
      <c r="B119" s="20" t="n"/>
      <c r="C119" s="20" t="n"/>
      <c r="D119" s="20" t="n"/>
      <c r="E119" s="20" t="n"/>
    </row>
    <row r="120">
      <c r="A120" s="20" t="n"/>
      <c r="B120" s="20" t="n"/>
      <c r="C120" s="20" t="n"/>
      <c r="D120" s="20" t="n"/>
      <c r="E120" s="20" t="n"/>
    </row>
    <row r="121">
      <c r="A121" s="20" t="n"/>
      <c r="B121" s="20" t="n"/>
      <c r="C121" s="20" t="n"/>
      <c r="D121" s="20" t="n"/>
      <c r="E121" s="20" t="n"/>
    </row>
    <row r="122">
      <c r="A122" s="20" t="n"/>
      <c r="B122" s="20" t="n"/>
      <c r="C122" s="20" t="n"/>
      <c r="D122" s="20" t="n"/>
      <c r="E122" s="20" t="n"/>
    </row>
    <row r="123">
      <c r="A123" s="20" t="n"/>
      <c r="B123" s="20" t="n"/>
      <c r="C123" s="20" t="n"/>
      <c r="D123" s="20" t="n"/>
      <c r="E123" s="20" t="n"/>
    </row>
    <row r="124">
      <c r="A124" s="20" t="n"/>
      <c r="B124" s="20" t="n"/>
      <c r="C124" s="20" t="n"/>
      <c r="D124" s="20" t="n"/>
      <c r="E124" s="20" t="n"/>
    </row>
    <row r="125">
      <c r="A125" s="20" t="n"/>
      <c r="B125" s="20" t="n"/>
      <c r="C125" s="20" t="n"/>
      <c r="D125" s="20" t="n"/>
      <c r="E125" s="20" t="n"/>
    </row>
    <row r="126">
      <c r="A126" s="20" t="n"/>
      <c r="B126" s="20" t="n"/>
      <c r="C126" s="20" t="n"/>
      <c r="D126" s="20" t="n"/>
      <c r="E126" s="20" t="n"/>
    </row>
    <row r="127">
      <c r="A127" s="20" t="n"/>
      <c r="B127" s="20" t="n"/>
      <c r="C127" s="20" t="n"/>
      <c r="D127" s="20" t="n"/>
      <c r="E127" s="20" t="n"/>
    </row>
    <row r="128">
      <c r="A128" s="20" t="n"/>
      <c r="B128" s="20" t="n"/>
      <c r="C128" s="20" t="n"/>
      <c r="D128" s="20" t="n"/>
      <c r="E128" s="20" t="n"/>
    </row>
    <row r="129">
      <c r="A129" s="20" t="n"/>
      <c r="B129" s="20" t="n"/>
      <c r="C129" s="20" t="n"/>
      <c r="D129" s="20" t="n"/>
      <c r="E129" s="20" t="n"/>
    </row>
    <row r="130">
      <c r="A130" s="20" t="n"/>
      <c r="B130" s="20" t="n"/>
      <c r="C130" s="20" t="n"/>
      <c r="D130" s="20" t="n"/>
      <c r="E130" s="20" t="n"/>
    </row>
    <row r="131">
      <c r="A131" s="20" t="n"/>
      <c r="B131" s="20" t="n"/>
      <c r="C131" s="20" t="n"/>
      <c r="D131" s="20" t="n"/>
      <c r="E131" s="20" t="n"/>
    </row>
    <row r="132">
      <c r="A132" s="20" t="n"/>
      <c r="B132" s="20" t="n"/>
      <c r="C132" s="20" t="n"/>
      <c r="D132" s="20" t="n"/>
      <c r="E132" s="20" t="n"/>
    </row>
    <row r="133">
      <c r="A133" s="20" t="n"/>
      <c r="B133" s="20" t="n"/>
      <c r="C133" s="20" t="n"/>
      <c r="D133" s="20" t="n"/>
      <c r="E133" s="20" t="n"/>
    </row>
    <row r="134">
      <c r="A134" s="20" t="n"/>
      <c r="B134" s="20" t="n"/>
      <c r="C134" s="20" t="n"/>
      <c r="D134" s="20" t="n"/>
      <c r="E134" s="20" t="n"/>
    </row>
    <row r="135">
      <c r="A135" s="20" t="n"/>
      <c r="B135" s="20" t="n"/>
      <c r="C135" s="20" t="n"/>
      <c r="D135" s="20" t="n"/>
      <c r="E135" s="20" t="n"/>
    </row>
    <row r="136">
      <c r="A136" s="20" t="n"/>
      <c r="B136" s="20" t="n"/>
      <c r="C136" s="20" t="n"/>
      <c r="D136" s="20" t="n"/>
      <c r="E136" s="20" t="n"/>
    </row>
    <row r="137">
      <c r="A137" s="20" t="n"/>
      <c r="B137" s="20" t="n"/>
      <c r="C137" s="20" t="n"/>
      <c r="D137" s="20" t="n"/>
      <c r="E137" s="20" t="n"/>
    </row>
    <row r="138">
      <c r="A138" s="20" t="n"/>
      <c r="B138" s="20" t="n"/>
      <c r="C138" s="20" t="n"/>
      <c r="D138" s="20" t="n"/>
      <c r="E138" s="20" t="n"/>
    </row>
    <row r="139">
      <c r="A139" s="20" t="n"/>
      <c r="B139" s="20" t="n"/>
      <c r="C139" s="20" t="n"/>
      <c r="D139" s="20" t="n"/>
      <c r="E139" s="20" t="n"/>
    </row>
    <row r="140">
      <c r="A140" s="20" t="n"/>
      <c r="B140" s="20" t="n"/>
      <c r="C140" s="20" t="n"/>
      <c r="D140" s="20" t="n"/>
      <c r="E140" s="20" t="n"/>
    </row>
    <row r="141">
      <c r="A141" s="20" t="n"/>
      <c r="B141" s="20" t="n"/>
      <c r="C141" s="20" t="n"/>
      <c r="D141" s="20" t="n"/>
      <c r="E141" s="20" t="n"/>
    </row>
    <row r="142">
      <c r="A142" s="20" t="n"/>
      <c r="B142" s="20" t="n"/>
      <c r="C142" s="20" t="n"/>
      <c r="D142" s="20" t="n"/>
      <c r="E142" s="20" t="n"/>
    </row>
    <row r="143">
      <c r="A143" s="20" t="n"/>
      <c r="B143" s="20" t="n"/>
      <c r="C143" s="20" t="n"/>
      <c r="D143" s="20" t="n"/>
      <c r="E143" s="20" t="n"/>
    </row>
    <row r="144">
      <c r="A144" s="20" t="n"/>
      <c r="B144" s="20" t="n"/>
      <c r="C144" s="20" t="n"/>
      <c r="D144" s="20" t="n"/>
      <c r="E144" s="20" t="n"/>
    </row>
    <row r="145">
      <c r="A145" s="20" t="n"/>
      <c r="B145" s="20" t="n"/>
      <c r="C145" s="20" t="n"/>
      <c r="D145" s="20" t="n"/>
      <c r="E145" s="20" t="n"/>
    </row>
    <row r="146">
      <c r="A146" s="20" t="n"/>
      <c r="B146" s="20" t="n"/>
      <c r="C146" s="20" t="n"/>
      <c r="D146" s="20" t="n"/>
      <c r="E146" s="20" t="n"/>
    </row>
    <row r="147">
      <c r="A147" s="20" t="n"/>
      <c r="B147" s="20" t="n"/>
      <c r="C147" s="20" t="n"/>
      <c r="D147" s="20" t="n"/>
      <c r="E147" s="20" t="n"/>
    </row>
    <row r="148">
      <c r="A148" s="20" t="n"/>
      <c r="B148" s="20" t="n"/>
      <c r="C148" s="20" t="n"/>
      <c r="D148" s="20" t="n"/>
      <c r="E148" s="20" t="n"/>
    </row>
    <row r="149">
      <c r="A149" s="20" t="n"/>
      <c r="B149" s="20" t="n"/>
      <c r="C149" s="20" t="n"/>
      <c r="D149" s="20" t="n"/>
      <c r="E149" s="20" t="n"/>
    </row>
    <row r="150">
      <c r="A150" s="20" t="n"/>
      <c r="B150" s="20" t="n"/>
      <c r="C150" s="20" t="n"/>
      <c r="D150" s="20" t="n"/>
      <c r="E150" s="20" t="n"/>
    </row>
  </sheetData>
  <dataValidations count="1">
    <dataValidation sqref="B2:B150" showDropDown="0" showInputMessage="0" showErrorMessage="0" allowBlank="1" type="list">
      <formula1>"taxable,pretax_p1,pretax_p2,roth,hsa,college_529,not_modeled"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3"/>
  <sheetViews>
    <sheetView workbookViewId="0">
      <selection activeCell="A1" sqref="A1"/>
    </sheetView>
  </sheetViews>
  <sheetFormatPr baseColWidth="8" defaultRowHeight="15"/>
  <cols>
    <col width="28" customWidth="1" min="1" max="1"/>
    <col width="12" customWidth="1" min="2" max="2"/>
    <col width="70" customWidth="1" min="3" max="3"/>
    <col width="12" customWidth="1" min="5" max="5"/>
    <col width="8" customWidth="1" min="6" max="6"/>
    <col width="8" customWidth="1" min="7" max="7"/>
    <col width="2" customWidth="1" min="8" max="8"/>
    <col width="12" customWidth="1" min="9" max="9"/>
    <col width="8" customWidth="1" min="10" max="10"/>
    <col width="8" customWidth="1" min="11" max="11"/>
    <col width="2" customWidth="1" min="12" max="12"/>
    <col width="12" customWidth="1" min="13" max="13"/>
    <col width="8" customWidth="1" min="14" max="14"/>
    <col width="8" customWidth="1" min="15" max="15"/>
    <col width="2" customWidth="1" min="16" max="16"/>
  </cols>
  <sheetData>
    <row r="1">
      <c r="A1" s="2" t="inlineStr">
        <is>
          <t>Tax law used by the model (married filing jointly). Yellow cells can be edited; indexed amounts grow with inflation after TAX_YEAR.</t>
        </is>
      </c>
    </row>
    <row r="2">
      <c r="A2" t="inlineStr">
        <is>
          <t>Sources: IRS Rev. Proc. 2025-32 (2026 amounts, One Big Beautiful Bill Act); SSA and CMS 2026 figures; state brackets from the state's tax department. Update each January.</t>
        </is>
      </c>
    </row>
    <row r="3">
      <c r="A3" s="19" t="inlineStr">
        <is>
          <t>name</t>
        </is>
      </c>
      <c r="B3" s="19" t="inlineStr">
        <is>
          <t>value</t>
        </is>
      </c>
      <c r="C3" s="19" t="inlineStr">
        <is>
          <t>notes</t>
        </is>
      </c>
      <c r="E3" s="2" t="inlineStr">
        <is>
          <t>Federal ordinary brackets (joint)</t>
        </is>
      </c>
      <c r="I3" s="2" t="inlineStr">
        <is>
          <t>Federal capital gains / qualified dividends (joint)</t>
        </is>
      </c>
      <c r="M3" s="2" t="inlineStr">
        <is>
          <t>State brackets (joint): New York</t>
        </is>
      </c>
      <c r="Q3" s="2" t="inlineStr">
        <is>
          <t>Medicare IRMAA (per person per month)</t>
        </is>
      </c>
      <c r="V3" s="2" t="inlineStr">
        <is>
          <t>SALT cap by year</t>
        </is>
      </c>
      <c r="Y3" s="2" t="inlineStr">
        <is>
          <t>Uniform Lifetime Table (RMDs)</t>
        </is>
      </c>
    </row>
    <row r="4">
      <c r="A4" t="inlineStr">
        <is>
          <t>TAX_YEAR</t>
        </is>
      </c>
      <c r="B4" s="20" t="n">
        <v>2026</v>
      </c>
      <c r="C4" t="inlineStr">
        <is>
          <t>Year the amounts on this tab are for; indexed amounts grow with inflation after it</t>
        </is>
      </c>
      <c r="E4" s="19" t="inlineStr">
        <is>
          <t>over</t>
        </is>
      </c>
      <c r="F4" s="19" t="inlineStr">
        <is>
          <t>rate</t>
        </is>
      </c>
      <c r="G4" s="19" t="inlineStr">
        <is>
          <t>step</t>
        </is>
      </c>
      <c r="I4" s="19" t="inlineStr">
        <is>
          <t>over</t>
        </is>
      </c>
      <c r="J4" s="19" t="inlineStr">
        <is>
          <t>rate</t>
        </is>
      </c>
      <c r="K4" s="19" t="inlineStr">
        <is>
          <t>step</t>
        </is>
      </c>
      <c r="M4" s="19" t="inlineStr">
        <is>
          <t>over</t>
        </is>
      </c>
      <c r="N4" s="19" t="inlineStr">
        <is>
          <t>rate</t>
        </is>
      </c>
      <c r="O4" s="19" t="inlineStr">
        <is>
          <t>step</t>
        </is>
      </c>
      <c r="Q4" s="19" t="inlineStr">
        <is>
          <t>MAGI over</t>
        </is>
      </c>
      <c r="R4" s="19" t="inlineStr">
        <is>
          <t>Part B add-on</t>
        </is>
      </c>
      <c r="S4" s="19" t="inlineStr">
        <is>
          <t>Part D add-on</t>
        </is>
      </c>
      <c r="T4" s="19" t="inlineStr">
        <is>
          <t>step</t>
        </is>
      </c>
      <c r="V4" s="19" t="inlineStr">
        <is>
          <t>year</t>
        </is>
      </c>
      <c r="W4" s="19" t="inlineStr">
        <is>
          <t>cap</t>
        </is>
      </c>
      <c r="Y4" s="19" t="inlineStr">
        <is>
          <t>age</t>
        </is>
      </c>
      <c r="Z4" s="19" t="inlineStr">
        <is>
          <t>factor</t>
        </is>
      </c>
    </row>
    <row r="5">
      <c r="A5" t="inlineStr">
        <is>
          <t>FED_STD</t>
        </is>
      </c>
      <c r="B5" s="20" t="n">
        <v>32200</v>
      </c>
      <c r="C5" t="inlineStr">
        <is>
          <t>Standard deduction, married filing jointly</t>
        </is>
      </c>
      <c r="E5" s="8" t="n">
        <v>0</v>
      </c>
      <c r="F5" s="26" t="n">
        <v>0.1</v>
      </c>
      <c r="G5" s="27">
        <f>IF(F5="",0,F5-0)</f>
        <v/>
      </c>
      <c r="I5" s="8" t="n">
        <v>0</v>
      </c>
      <c r="J5" s="26" t="n">
        <v>0</v>
      </c>
      <c r="K5" s="27">
        <f>IF(J5="",0,J5-0)</f>
        <v/>
      </c>
      <c r="M5" s="8" t="n">
        <v>0</v>
      </c>
      <c r="N5" s="26" t="n">
        <v>0.04</v>
      </c>
      <c r="O5" s="27">
        <f>IF(N5="",0,N5-0)</f>
        <v/>
      </c>
      <c r="Q5" s="20" t="n">
        <v>218000</v>
      </c>
      <c r="R5" s="20" t="n">
        <v>81.2</v>
      </c>
      <c r="S5" s="20" t="n">
        <v>14.5</v>
      </c>
      <c r="T5">
        <f>R5+S5</f>
        <v/>
      </c>
      <c r="V5" s="20" t="n">
        <v>2026</v>
      </c>
      <c r="W5" s="20" t="n">
        <v>40400</v>
      </c>
      <c r="Y5" t="n">
        <v>72</v>
      </c>
      <c r="Z5" t="n">
        <v>27.4</v>
      </c>
    </row>
    <row r="6">
      <c r="A6" t="inlineStr">
        <is>
          <t>FED_65_ADD</t>
        </is>
      </c>
      <c r="B6" s="20" t="n">
        <v>1650</v>
      </c>
      <c r="C6" t="inlineStr">
        <is>
          <t>Extra standard deduction per spouse 65+</t>
        </is>
      </c>
      <c r="E6" s="8" t="n">
        <v>24800</v>
      </c>
      <c r="F6" s="26" t="n">
        <v>0.12</v>
      </c>
      <c r="G6" s="27">
        <f>IF(F6="",0,F6-F5)</f>
        <v/>
      </c>
      <c r="I6" s="8" t="n">
        <v>98900</v>
      </c>
      <c r="J6" s="26" t="n">
        <v>0.15</v>
      </c>
      <c r="K6" s="27">
        <f>IF(J6="",0,J6-J5)</f>
        <v/>
      </c>
      <c r="M6" s="8" t="n">
        <v>17150</v>
      </c>
      <c r="N6" s="26" t="n">
        <v>0.045</v>
      </c>
      <c r="O6" s="27">
        <f>IF(N6="",0,N6-N5)</f>
        <v/>
      </c>
      <c r="Q6" s="20" t="n">
        <v>274000</v>
      </c>
      <c r="R6" s="20" t="n">
        <v>202.9</v>
      </c>
      <c r="S6" s="20" t="n">
        <v>37.5</v>
      </c>
      <c r="T6">
        <f>R6+S6-R5-S5</f>
        <v/>
      </c>
      <c r="V6" s="20" t="n">
        <v>2027</v>
      </c>
      <c r="W6" s="20" t="n">
        <v>40804</v>
      </c>
      <c r="Y6" t="n">
        <v>73</v>
      </c>
      <c r="Z6" t="n">
        <v>26.5</v>
      </c>
    </row>
    <row r="7">
      <c r="A7" t="inlineStr">
        <is>
          <t>SENIOR_DED</t>
        </is>
      </c>
      <c r="B7" s="20" t="n">
        <v>6000</v>
      </c>
      <c r="C7" t="inlineStr">
        <is>
          <t>OBBBA senior deduction per person 65+ (not indexed)</t>
        </is>
      </c>
      <c r="E7" s="8" t="n">
        <v>100800</v>
      </c>
      <c r="F7" s="26" t="n">
        <v>0.22</v>
      </c>
      <c r="G7" s="27">
        <f>IF(F7="",0,F7-F6)</f>
        <v/>
      </c>
      <c r="I7" s="8" t="n">
        <v>613700</v>
      </c>
      <c r="J7" s="26" t="n">
        <v>0.2</v>
      </c>
      <c r="K7" s="27">
        <f>IF(J7="",0,J7-J6)</f>
        <v/>
      </c>
      <c r="M7" s="8" t="n">
        <v>23600</v>
      </c>
      <c r="N7" s="26" t="n">
        <v>0.0525</v>
      </c>
      <c r="O7" s="27">
        <f>IF(N7="",0,N7-N6)</f>
        <v/>
      </c>
      <c r="Q7" s="20" t="n">
        <v>342000</v>
      </c>
      <c r="R7" s="20" t="n">
        <v>324.6</v>
      </c>
      <c r="S7" s="20" t="n">
        <v>60.4</v>
      </c>
      <c r="T7">
        <f>R7+S7-R6-S6</f>
        <v/>
      </c>
      <c r="V7" s="20" t="n">
        <v>2028</v>
      </c>
      <c r="W7" s="20" t="n">
        <v>41212</v>
      </c>
      <c r="Y7" t="n">
        <v>74</v>
      </c>
      <c r="Z7" t="n">
        <v>25.5</v>
      </c>
    </row>
    <row r="8">
      <c r="A8" t="inlineStr">
        <is>
          <t>SENIOR_DED_FROM</t>
        </is>
      </c>
      <c r="B8" s="20" t="n">
        <v>2025</v>
      </c>
      <c r="C8" t="inlineStr">
        <is>
          <t>... first year</t>
        </is>
      </c>
      <c r="E8" s="8" t="n">
        <v>211400</v>
      </c>
      <c r="F8" s="26" t="n">
        <v>0.24</v>
      </c>
      <c r="G8" s="27">
        <f>IF(F8="",0,F8-F7)</f>
        <v/>
      </c>
      <c r="I8" s="8" t="n"/>
      <c r="J8" s="26" t="n"/>
      <c r="K8" s="27">
        <f>IF(J8="",0,J8-J7)</f>
        <v/>
      </c>
      <c r="M8" s="8" t="n">
        <v>27900</v>
      </c>
      <c r="N8" s="26" t="n">
        <v>0.055</v>
      </c>
      <c r="O8" s="27">
        <f>IF(N8="",0,N8-N7)</f>
        <v/>
      </c>
      <c r="Q8" s="20" t="n">
        <v>410000</v>
      </c>
      <c r="R8" s="20" t="n">
        <v>446.3</v>
      </c>
      <c r="S8" s="20" t="n">
        <v>83.3</v>
      </c>
      <c r="T8">
        <f>R8+S8-R7-S7</f>
        <v/>
      </c>
      <c r="V8" s="20" t="n">
        <v>2029</v>
      </c>
      <c r="W8" s="20" t="n">
        <v>41624</v>
      </c>
      <c r="Y8" t="n">
        <v>75</v>
      </c>
      <c r="Z8" t="n">
        <v>24.6</v>
      </c>
    </row>
    <row r="9">
      <c r="A9" t="inlineStr">
        <is>
          <t>SENIOR_DED_TO</t>
        </is>
      </c>
      <c r="B9" s="20" t="n">
        <v>2028</v>
      </c>
      <c r="C9" t="inlineStr">
        <is>
          <t>... last year (expires after 2028 under current law)</t>
        </is>
      </c>
      <c r="E9" s="8" t="n">
        <v>403550</v>
      </c>
      <c r="F9" s="26" t="n">
        <v>0.32</v>
      </c>
      <c r="G9" s="27">
        <f>IF(F9="",0,F9-F8)</f>
        <v/>
      </c>
      <c r="I9" s="8" t="n"/>
      <c r="J9" s="26" t="n"/>
      <c r="K9" s="27">
        <f>IF(J9="",0,J9-J8)</f>
        <v/>
      </c>
      <c r="M9" s="8" t="n">
        <v>161550</v>
      </c>
      <c r="N9" s="26" t="n">
        <v>0.06</v>
      </c>
      <c r="O9" s="27">
        <f>IF(N9="",0,N9-N8)</f>
        <v/>
      </c>
      <c r="Q9" s="20" t="n">
        <v>750000</v>
      </c>
      <c r="R9" s="20" t="n">
        <v>487</v>
      </c>
      <c r="S9" s="20" t="n">
        <v>91</v>
      </c>
      <c r="T9">
        <f>R9+S9-R8-S8</f>
        <v/>
      </c>
      <c r="Y9" t="n">
        <v>76</v>
      </c>
      <c r="Z9" t="n">
        <v>23.7</v>
      </c>
    </row>
    <row r="10">
      <c r="A10" t="inlineStr">
        <is>
          <t>SENIOR_PHASEOUT_START</t>
        </is>
      </c>
      <c r="B10" s="20" t="n">
        <v>150000</v>
      </c>
      <c r="C10" t="inlineStr">
        <is>
          <t>... reduced by 6% of MAGI above this (joint)</t>
        </is>
      </c>
      <c r="E10" s="8" t="n">
        <v>512450</v>
      </c>
      <c r="F10" s="26" t="n">
        <v>0.35</v>
      </c>
      <c r="G10" s="27">
        <f>IF(F10="",0,F10-F9)</f>
        <v/>
      </c>
      <c r="I10" s="8" t="n"/>
      <c r="J10" s="26" t="n"/>
      <c r="K10" s="27">
        <f>IF(J10="",0,J10-J9)</f>
        <v/>
      </c>
      <c r="M10" s="8" t="n">
        <v>323200</v>
      </c>
      <c r="N10" s="26" t="n">
        <v>0.06850000000000001</v>
      </c>
      <c r="O10" s="27">
        <f>IF(N10="",0,N10-N9)</f>
        <v/>
      </c>
      <c r="Y10" t="n">
        <v>77</v>
      </c>
      <c r="Z10" t="n">
        <v>22.9</v>
      </c>
    </row>
    <row r="11">
      <c r="A11" t="inlineStr">
        <is>
          <t>SENIOR_PHASEOUT_RATE</t>
        </is>
      </c>
      <c r="B11" s="26" t="n">
        <v>0.06</v>
      </c>
      <c r="C11" t="inlineStr"/>
      <c r="E11" s="8" t="n">
        <v>768700</v>
      </c>
      <c r="F11" s="26" t="n">
        <v>0.37</v>
      </c>
      <c r="G11" s="27">
        <f>IF(F11="",0,F11-F10)</f>
        <v/>
      </c>
      <c r="I11" s="8" t="n"/>
      <c r="J11" s="26" t="n"/>
      <c r="K11" s="27">
        <f>IF(J11="",0,J11-J10)</f>
        <v/>
      </c>
      <c r="M11" s="8" t="n">
        <v>2155350</v>
      </c>
      <c r="N11" s="26" t="n">
        <v>0.0965</v>
      </c>
      <c r="O11" s="27">
        <f>IF(N11="",0,N11-N10)</f>
        <v/>
      </c>
      <c r="Y11" t="n">
        <v>78</v>
      </c>
      <c r="Z11" t="n">
        <v>22</v>
      </c>
    </row>
    <row r="12">
      <c r="A12" t="inlineStr">
        <is>
          <t>NIIT_RATE</t>
        </is>
      </c>
      <c r="B12" s="26" t="n">
        <v>0.038</v>
      </c>
      <c r="C12" t="inlineStr">
        <is>
          <t>Net investment income tax</t>
        </is>
      </c>
      <c r="E12" s="8" t="n"/>
      <c r="F12" s="26" t="n"/>
      <c r="G12" s="27">
        <f>IF(F12="",0,F12-F11)</f>
        <v/>
      </c>
      <c r="I12" s="8" t="n"/>
      <c r="J12" s="26" t="n"/>
      <c r="K12" s="27">
        <f>IF(J12="",0,J12-J11)</f>
        <v/>
      </c>
      <c r="M12" s="8" t="n">
        <v>5000000</v>
      </c>
      <c r="N12" s="26" t="n">
        <v>0.103</v>
      </c>
      <c r="O12" s="27">
        <f>IF(N12="",0,N12-N11)</f>
        <v/>
      </c>
      <c r="Y12" t="n">
        <v>79</v>
      </c>
      <c r="Z12" t="n">
        <v>21.1</v>
      </c>
    </row>
    <row r="13">
      <c r="A13" t="inlineStr">
        <is>
          <t>NIIT_THRESHOLD</t>
        </is>
      </c>
      <c r="B13" s="20" t="n">
        <v>250000</v>
      </c>
      <c r="C13" t="inlineStr">
        <is>
          <t>Not indexed</t>
        </is>
      </c>
      <c r="E13" s="8" t="n"/>
      <c r="F13" s="26" t="n"/>
      <c r="G13" s="27">
        <f>IF(F13="",0,F13-F12)</f>
        <v/>
      </c>
      <c r="I13" s="8" t="n"/>
      <c r="J13" s="26" t="n"/>
      <c r="K13" s="27">
        <f>IF(J13="",0,J13-J12)</f>
        <v/>
      </c>
      <c r="M13" s="8" t="n">
        <v>25000000</v>
      </c>
      <c r="N13" s="26" t="n">
        <v>0.109</v>
      </c>
      <c r="O13" s="27">
        <f>IF(N13="",0,N13-N12)</f>
        <v/>
      </c>
      <c r="Y13" t="n">
        <v>80</v>
      </c>
      <c r="Z13" t="n">
        <v>20.2</v>
      </c>
    </row>
    <row r="14">
      <c r="A14" t="inlineStr">
        <is>
          <t>SS_TAXABLE_BASE</t>
        </is>
      </c>
      <c r="B14" s="20" t="n">
        <v>32000</v>
      </c>
      <c r="C14" t="inlineStr">
        <is>
          <t>Social Security taxation thresholds (joint, not indexed)</t>
        </is>
      </c>
      <c r="E14" s="8" t="n"/>
      <c r="F14" s="26" t="n"/>
      <c r="G14" s="27">
        <f>IF(F14="",0,F14-F13)</f>
        <v/>
      </c>
      <c r="I14" s="8" t="n"/>
      <c r="J14" s="26" t="n"/>
      <c r="K14" s="27">
        <f>IF(J14="",0,J14-J13)</f>
        <v/>
      </c>
      <c r="M14" s="8" t="n"/>
      <c r="N14" s="26" t="n"/>
      <c r="O14" s="27">
        <f>IF(N14="",0,N14-N13)</f>
        <v/>
      </c>
      <c r="Y14" t="n">
        <v>81</v>
      </c>
      <c r="Z14" t="n">
        <v>19.4</v>
      </c>
    </row>
    <row r="15">
      <c r="A15" t="inlineStr">
        <is>
          <t>SS_TAXABLE_ADJUSTED_BASE</t>
        </is>
      </c>
      <c r="B15" s="20" t="n">
        <v>44000</v>
      </c>
      <c r="C15" t="inlineStr"/>
      <c r="E15" s="8" t="n"/>
      <c r="F15" s="26" t="n"/>
      <c r="G15" s="27">
        <f>IF(F15="",0,F15-F14)</f>
        <v/>
      </c>
      <c r="I15" s="8" t="n"/>
      <c r="J15" s="26" t="n"/>
      <c r="K15" s="27">
        <f>IF(J15="",0,J15-J14)</f>
        <v/>
      </c>
      <c r="M15" s="8" t="n"/>
      <c r="N15" s="26" t="n"/>
      <c r="O15" s="27">
        <f>IF(N15="",0,N15-N14)</f>
        <v/>
      </c>
      <c r="Y15" t="n">
        <v>82</v>
      </c>
      <c r="Z15" t="n">
        <v>18.5</v>
      </c>
    </row>
    <row r="16">
      <c r="A16" t="inlineStr">
        <is>
          <t>SALT_CAP_AFTER</t>
        </is>
      </c>
      <c r="B16" s="20" t="n">
        <v>10000</v>
      </c>
      <c r="C16" t="inlineStr">
        <is>
          <t>SALT cap after the years in the SALT table</t>
        </is>
      </c>
      <c r="E16" s="8" t="n"/>
      <c r="F16" s="26" t="n"/>
      <c r="G16" s="27">
        <f>IF(F16="",0,F16-F15)</f>
        <v/>
      </c>
      <c r="I16" s="8" t="n"/>
      <c r="J16" s="26" t="n"/>
      <c r="K16" s="27">
        <f>IF(J16="",0,J16-J15)</f>
        <v/>
      </c>
      <c r="M16" s="8" t="n"/>
      <c r="N16" s="26" t="n"/>
      <c r="O16" s="27">
        <f>IF(N16="",0,N16-N15)</f>
        <v/>
      </c>
      <c r="Y16" t="n">
        <v>83</v>
      </c>
      <c r="Z16" t="n">
        <v>17.7</v>
      </c>
    </row>
    <row r="17">
      <c r="A17" t="inlineStr">
        <is>
          <t>SALT_PHASEDOWN_START</t>
        </is>
      </c>
      <c r="B17" s="20" t="n">
        <v>505000</v>
      </c>
      <c r="C17" t="inlineStr">
        <is>
          <t>SALT cap phase-down starts at this MAGI (2026; grows 1%/yr through 2029)</t>
        </is>
      </c>
      <c r="Y17" t="n">
        <v>84</v>
      </c>
      <c r="Z17" t="n">
        <v>16.8</v>
      </c>
    </row>
    <row r="18">
      <c r="A18" t="inlineStr">
        <is>
          <t>SALT_PHASEDOWN_RATE</t>
        </is>
      </c>
      <c r="B18" s="11" t="n">
        <v>0.3</v>
      </c>
      <c r="C18" t="inlineStr"/>
      <c r="Y18" t="n">
        <v>85</v>
      </c>
      <c r="Z18" t="n">
        <v>16</v>
      </c>
    </row>
    <row r="19">
      <c r="A19" t="inlineStr">
        <is>
          <t>UNRECAPTURED_1250_EXTRA</t>
        </is>
      </c>
      <c r="B19" s="11" t="n">
        <v>0.1</v>
      </c>
      <c r="C19" t="inlineStr">
        <is>
          <t>Depreciation recapture: 25% max rate vs 15%</t>
        </is>
      </c>
      <c r="Y19" t="n">
        <v>86</v>
      </c>
      <c r="Z19" t="n">
        <v>15.2</v>
      </c>
    </row>
    <row r="20">
      <c r="A20" t="inlineStr">
        <is>
          <t>HOME_SALE_EXCLUSION</t>
        </is>
      </c>
      <c r="B20" s="20" t="n">
        <v>500000</v>
      </c>
      <c r="C20" t="inlineStr">
        <is>
          <t>Gain excluded on selling your home (joint)</t>
        </is>
      </c>
      <c r="Y20" t="n">
        <v>87</v>
      </c>
      <c r="Z20" t="n">
        <v>14.4</v>
      </c>
    </row>
    <row r="21">
      <c r="A21" t="inlineStr">
        <is>
          <t>SS_WAGE_BASE</t>
        </is>
      </c>
      <c r="B21" s="20" t="n">
        <v>184500</v>
      </c>
      <c r="C21" t="inlineStr">
        <is>
          <t>Social Security payroll tax wage base</t>
        </is>
      </c>
      <c r="Y21" t="n">
        <v>88</v>
      </c>
      <c r="Z21" t="n">
        <v>13.7</v>
      </c>
    </row>
    <row r="22">
      <c r="A22" t="inlineStr">
        <is>
          <t>ADDITIONAL_MEDICARE_THRESHOLD</t>
        </is>
      </c>
      <c r="B22" s="20" t="n">
        <v>250000</v>
      </c>
      <c r="C22" t="inlineStr">
        <is>
          <t>0.9% extra Medicare tax above this (joint, not indexed)</t>
        </is>
      </c>
      <c r="Y22" t="n">
        <v>89</v>
      </c>
      <c r="Z22" t="n">
        <v>12.9</v>
      </c>
    </row>
    <row r="23">
      <c r="A23" t="inlineStr">
        <is>
          <t>MEDICAL_FLOOR</t>
        </is>
      </c>
      <c r="B23" s="26" t="n">
        <v>0.075</v>
      </c>
      <c r="C23" t="inlineStr">
        <is>
          <t>Medical expenses deductible above this share of AGI</t>
        </is>
      </c>
      <c r="Y23" t="n">
        <v>90</v>
      </c>
      <c r="Z23" t="n">
        <v>12.2</v>
      </c>
    </row>
    <row r="24">
      <c r="A24" t="inlineStr">
        <is>
          <t>SS_FULL_RETIREMENT_AGE</t>
        </is>
      </c>
      <c r="B24" s="20" t="n">
        <v>67</v>
      </c>
      <c r="C24" t="inlineStr">
        <is>
          <t>Born 1960 or later</t>
        </is>
      </c>
      <c r="Y24" t="n">
        <v>91</v>
      </c>
      <c r="Z24" t="n">
        <v>11.5</v>
      </c>
    </row>
    <row r="25">
      <c r="A25" t="inlineStr">
        <is>
          <t>STATE_NAME</t>
        </is>
      </c>
      <c r="B25" s="20" t="inlineStr">
        <is>
          <t>New York</t>
        </is>
      </c>
      <c r="C25" t="inlineStr">
        <is>
          <t>State used for state income tax (edit the brackets below to change it)</t>
        </is>
      </c>
      <c r="Y25" t="n">
        <v>92</v>
      </c>
      <c r="Z25" t="n">
        <v>10.8</v>
      </c>
    </row>
    <row r="26">
      <c r="A26" t="inlineStr">
        <is>
          <t>STATE_STD</t>
        </is>
      </c>
      <c r="B26" s="20" t="n">
        <v>16050</v>
      </c>
      <c r="C26" t="inlineStr">
        <is>
          <t>State standard deduction (joint)</t>
        </is>
      </c>
      <c r="Y26" t="n">
        <v>93</v>
      </c>
      <c r="Z26" t="n">
        <v>10.1</v>
      </c>
    </row>
    <row r="27">
      <c r="A27" t="inlineStr">
        <is>
          <t>STATE_INDEXED</t>
        </is>
      </c>
      <c r="B27" s="20" t="n">
        <v>0</v>
      </c>
      <c r="C27" t="inlineStr">
        <is>
          <t>1 = state brackets and deduction grow with inflation; 0 = fixed</t>
        </is>
      </c>
      <c r="Y27" t="n">
        <v>94</v>
      </c>
      <c r="Z27" t="n">
        <v>9.5</v>
      </c>
    </row>
    <row r="28">
      <c r="A28" t="inlineStr">
        <is>
          <t>STATE_SS_EXEMPT</t>
        </is>
      </c>
      <c r="B28" s="20" t="n">
        <v>1</v>
      </c>
      <c r="C28" t="inlineStr">
        <is>
          <t>1 = state doesn't tax Social Security</t>
        </is>
      </c>
      <c r="Y28" t="n">
        <v>95</v>
      </c>
      <c r="Z28" t="n">
        <v>8.9</v>
      </c>
    </row>
    <row r="29">
      <c r="A29" t="inlineStr">
        <is>
          <t>STATE_RET_EXCLUSION</t>
        </is>
      </c>
      <c r="B29" s="20" t="n">
        <v>20000</v>
      </c>
      <c r="C29" t="inlineStr">
        <is>
          <t>Per-person exclusion for IRA/401(k)/pension withdrawals</t>
        </is>
      </c>
      <c r="Y29" t="n">
        <v>96</v>
      </c>
      <c r="Z29" t="n">
        <v>8.4</v>
      </c>
    </row>
    <row r="30">
      <c r="A30" t="inlineStr">
        <is>
          <t>STATE_RET_EXCLUSION_AGE</t>
        </is>
      </c>
      <c r="B30" s="20" t="n">
        <v>59.5</v>
      </c>
      <c r="C30" t="inlineStr">
        <is>
          <t>... from this age</t>
        </is>
      </c>
      <c r="Y30" t="n">
        <v>97</v>
      </c>
      <c r="Z30" t="n">
        <v>7.8</v>
      </c>
    </row>
    <row r="31">
      <c r="A31" t="inlineStr">
        <is>
          <t>LOCAL_RATE</t>
        </is>
      </c>
      <c r="B31" s="26" t="n">
        <v>0</v>
      </c>
      <c r="C31" t="inlineStr">
        <is>
          <t>Flat city/county income tax on state taxable income (NYC is roughly 0.039)</t>
        </is>
      </c>
      <c r="Y31" t="n">
        <v>98</v>
      </c>
      <c r="Z31" t="n">
        <v>7.3</v>
      </c>
    </row>
    <row r="32">
      <c r="Y32" t="n">
        <v>99</v>
      </c>
      <c r="Z32" t="n">
        <v>6.8</v>
      </c>
    </row>
    <row r="33">
      <c r="Y33" t="n">
        <v>100</v>
      </c>
      <c r="Z33" t="n">
        <v>6.4</v>
      </c>
    </row>
    <row r="34">
      <c r="Y34" t="n">
        <v>101</v>
      </c>
      <c r="Z34" t="n">
        <v>6</v>
      </c>
    </row>
    <row r="35">
      <c r="Y35" t="n">
        <v>102</v>
      </c>
      <c r="Z35" t="n">
        <v>5.6</v>
      </c>
    </row>
    <row r="36">
      <c r="Y36" t="n">
        <v>103</v>
      </c>
      <c r="Z36" t="n">
        <v>5.2</v>
      </c>
    </row>
    <row r="37">
      <c r="Y37" t="n">
        <v>104</v>
      </c>
      <c r="Z37" t="n">
        <v>4.9</v>
      </c>
    </row>
    <row r="38">
      <c r="Y38" t="n">
        <v>105</v>
      </c>
      <c r="Z38" t="n">
        <v>4.6</v>
      </c>
    </row>
    <row r="39">
      <c r="Y39" t="n">
        <v>106</v>
      </c>
      <c r="Z39" t="n">
        <v>4.3</v>
      </c>
    </row>
    <row r="40">
      <c r="Y40" t="n">
        <v>107</v>
      </c>
      <c r="Z40" t="n">
        <v>4.1</v>
      </c>
    </row>
    <row r="41">
      <c r="Y41" t="n">
        <v>108</v>
      </c>
      <c r="Z41" t="n">
        <v>3.9</v>
      </c>
    </row>
    <row r="42">
      <c r="Y42" t="n">
        <v>109</v>
      </c>
      <c r="Z42" t="n">
        <v>3.7</v>
      </c>
    </row>
    <row r="43">
      <c r="Y43" t="n">
        <v>110</v>
      </c>
      <c r="Z43" t="n">
        <v>3.5</v>
      </c>
    </row>
    <row r="44">
      <c r="Y44" t="n">
        <v>111</v>
      </c>
      <c r="Z44" t="n">
        <v>3.4</v>
      </c>
    </row>
    <row r="45">
      <c r="Y45" t="n">
        <v>112</v>
      </c>
      <c r="Z45" t="n">
        <v>3.3</v>
      </c>
    </row>
    <row r="46">
      <c r="Y46" t="n">
        <v>113</v>
      </c>
      <c r="Z46" t="n">
        <v>3.1</v>
      </c>
    </row>
    <row r="47">
      <c r="Y47" t="n">
        <v>114</v>
      </c>
      <c r="Z47" t="n">
        <v>3</v>
      </c>
    </row>
    <row r="48">
      <c r="Y48" t="n">
        <v>115</v>
      </c>
      <c r="Z48" t="n">
        <v>2.9</v>
      </c>
    </row>
    <row r="49">
      <c r="Y49" t="n">
        <v>116</v>
      </c>
      <c r="Z49" t="n">
        <v>2.8</v>
      </c>
    </row>
    <row r="50">
      <c r="Y50" t="n">
        <v>117</v>
      </c>
      <c r="Z50" t="n">
        <v>2.7</v>
      </c>
    </row>
    <row r="51">
      <c r="Y51" t="n">
        <v>118</v>
      </c>
      <c r="Z51" t="n">
        <v>2.5</v>
      </c>
    </row>
    <row r="52">
      <c r="Y52" t="n">
        <v>119</v>
      </c>
      <c r="Z52" t="n">
        <v>2.3</v>
      </c>
    </row>
    <row r="53">
      <c r="Y53" t="n">
        <v>120</v>
      </c>
      <c r="Z53"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9"/>
  <sheetViews>
    <sheetView workbookViewId="0">
      <selection activeCell="A1" sqref="A1"/>
    </sheetView>
  </sheetViews>
  <sheetFormatPr baseColWidth="8" defaultRowHeight="15"/>
  <sheetData>
    <row r="1">
      <c r="A1" s="19" t="inlineStr">
        <is>
          <t>year</t>
        </is>
      </c>
      <c r="B1" s="19" t="inlineStr">
        <is>
          <t>stocks</t>
        </is>
      </c>
      <c r="C1" s="19" t="inlineStr">
        <is>
          <t>bonds</t>
        </is>
      </c>
      <c r="D1" s="19" t="inlineStr">
        <is>
          <t>bills</t>
        </is>
      </c>
      <c r="E1" s="19" t="inlineStr">
        <is>
          <t>inflation</t>
        </is>
      </c>
      <c r="G1" t="inlineStr">
        <is>
          <t>US history: S&amp;P 500 total return, 10-year Treasury, 3-month T-bill, CPI inflation. Source: Aswath Damodaran, NYU Stern (histretSP.xls, January 2026). Add a row each January, or replace the columns with another country's series (keep the headers).</t>
        </is>
      </c>
    </row>
    <row r="2">
      <c r="A2" t="n">
        <v>1928</v>
      </c>
      <c r="B2" s="22" t="n">
        <v>0.438112</v>
      </c>
      <c r="C2" s="22" t="n">
        <v>0.008355</v>
      </c>
      <c r="D2" s="22" t="n">
        <v>0.0308</v>
      </c>
      <c r="E2" s="22" t="n">
        <v>-0.011561</v>
      </c>
    </row>
    <row r="3">
      <c r="A3" t="n">
        <v>1929</v>
      </c>
      <c r="B3" s="22" t="n">
        <v>-0.082979</v>
      </c>
      <c r="C3" s="22" t="n">
        <v>0.042038</v>
      </c>
      <c r="D3" s="22" t="n">
        <v>0.0316</v>
      </c>
      <c r="E3" s="22" t="n">
        <v>0.005848</v>
      </c>
    </row>
    <row r="4">
      <c r="A4" t="n">
        <v>1930</v>
      </c>
      <c r="B4" s="22" t="n">
        <v>-0.251236</v>
      </c>
      <c r="C4" s="22" t="n">
        <v>0.045409</v>
      </c>
      <c r="D4" s="22" t="n">
        <v>0.0455</v>
      </c>
      <c r="E4" s="22" t="n">
        <v>-0.063953</v>
      </c>
    </row>
    <row r="5">
      <c r="A5" t="n">
        <v>1931</v>
      </c>
      <c r="B5" s="22" t="n">
        <v>-0.438375</v>
      </c>
      <c r="C5" s="22" t="n">
        <v>-0.025589</v>
      </c>
      <c r="D5" s="22" t="n">
        <v>0.0231</v>
      </c>
      <c r="E5" s="22" t="n">
        <v>-0.093168</v>
      </c>
    </row>
    <row r="6">
      <c r="A6" t="n">
        <v>1932</v>
      </c>
      <c r="B6" s="22" t="n">
        <v>-0.086424</v>
      </c>
      <c r="C6" s="22" t="n">
        <v>0.087903</v>
      </c>
      <c r="D6" s="22" t="n">
        <v>0.0107</v>
      </c>
      <c r="E6" s="22" t="n">
        <v>-0.10274</v>
      </c>
    </row>
    <row r="7">
      <c r="A7" t="n">
        <v>1933</v>
      </c>
      <c r="B7" s="22" t="n">
        <v>0.499822</v>
      </c>
      <c r="C7" s="22" t="n">
        <v>0.018553</v>
      </c>
      <c r="D7" s="22" t="n">
        <v>0.009599999999999999</v>
      </c>
      <c r="E7" s="22" t="n">
        <v>0.007634</v>
      </c>
    </row>
    <row r="8">
      <c r="A8" t="n">
        <v>1934</v>
      </c>
      <c r="B8" s="22" t="n">
        <v>-0.011886</v>
      </c>
      <c r="C8" s="22" t="n">
        <v>0.079634</v>
      </c>
      <c r="D8" s="22" t="n">
        <v>0.002783</v>
      </c>
      <c r="E8" s="22" t="n">
        <v>0.015152</v>
      </c>
    </row>
    <row r="9">
      <c r="A9" t="n">
        <v>1935</v>
      </c>
      <c r="B9" s="22" t="n">
        <v>0.467404</v>
      </c>
      <c r="C9" s="22" t="n">
        <v>0.04472</v>
      </c>
      <c r="D9" s="22" t="n">
        <v>0.001675</v>
      </c>
      <c r="E9" s="22" t="n">
        <v>0.029851</v>
      </c>
    </row>
    <row r="10">
      <c r="A10" t="n">
        <v>1936</v>
      </c>
      <c r="B10" s="22" t="n">
        <v>0.319434</v>
      </c>
      <c r="C10" s="22" t="n">
        <v>0.050179</v>
      </c>
      <c r="D10" s="22" t="n">
        <v>0.001725</v>
      </c>
      <c r="E10" s="22" t="n">
        <v>0.014493</v>
      </c>
    </row>
    <row r="11">
      <c r="A11" t="n">
        <v>1937</v>
      </c>
      <c r="B11" s="22" t="n">
        <v>-0.353367</v>
      </c>
      <c r="C11" s="22" t="n">
        <v>0.013791</v>
      </c>
      <c r="D11" s="22" t="n">
        <v>0.002758</v>
      </c>
      <c r="E11" s="22" t="n">
        <v>0.028571</v>
      </c>
    </row>
    <row r="12">
      <c r="A12" t="n">
        <v>1938</v>
      </c>
      <c r="B12" s="22" t="n">
        <v>0.292827</v>
      </c>
      <c r="C12" s="22" t="n">
        <v>0.042132</v>
      </c>
      <c r="D12" s="22" t="n">
        <v>0.00065</v>
      </c>
      <c r="E12" s="22" t="n">
        <v>-0.027778</v>
      </c>
    </row>
    <row r="13">
      <c r="A13" t="n">
        <v>1939</v>
      </c>
      <c r="B13" s="22" t="n">
        <v>-0.010976</v>
      </c>
      <c r="C13" s="22" t="n">
        <v>0.044123</v>
      </c>
      <c r="D13" s="22" t="n">
        <v>0.000458</v>
      </c>
      <c r="E13" s="22" t="n">
        <v>0</v>
      </c>
    </row>
    <row r="14">
      <c r="A14" t="n">
        <v>1940</v>
      </c>
      <c r="B14" s="22" t="n">
        <v>-0.106729</v>
      </c>
      <c r="C14" s="22" t="n">
        <v>0.054025</v>
      </c>
      <c r="D14" s="22" t="n">
        <v>0.000358</v>
      </c>
      <c r="E14" s="22" t="n">
        <v>0.007143</v>
      </c>
    </row>
    <row r="15">
      <c r="A15" t="n">
        <v>1941</v>
      </c>
      <c r="B15" s="22" t="n">
        <v>-0.127715</v>
      </c>
      <c r="C15" s="22" t="n">
        <v>-0.020222</v>
      </c>
      <c r="D15" s="22" t="n">
        <v>0.001292</v>
      </c>
      <c r="E15" s="22" t="n">
        <v>0.099291</v>
      </c>
    </row>
    <row r="16">
      <c r="A16" t="n">
        <v>1942</v>
      </c>
      <c r="B16" s="22" t="n">
        <v>0.191738</v>
      </c>
      <c r="C16" s="22" t="n">
        <v>0.022949</v>
      </c>
      <c r="D16" s="22" t="n">
        <v>0.003425</v>
      </c>
      <c r="E16" s="22" t="n">
        <v>0.090323</v>
      </c>
    </row>
    <row r="17">
      <c r="A17" t="n">
        <v>1943</v>
      </c>
      <c r="B17" s="22" t="n">
        <v>0.250613</v>
      </c>
      <c r="C17" s="22" t="n">
        <v>0.0249</v>
      </c>
      <c r="D17" s="22" t="n">
        <v>0.0038</v>
      </c>
      <c r="E17" s="22" t="n">
        <v>0.029586</v>
      </c>
    </row>
    <row r="18">
      <c r="A18" t="n">
        <v>1944</v>
      </c>
      <c r="B18" s="22" t="n">
        <v>0.190307</v>
      </c>
      <c r="C18" s="22" t="n">
        <v>0.025776</v>
      </c>
      <c r="D18" s="22" t="n">
        <v>0.0038</v>
      </c>
      <c r="E18" s="22" t="n">
        <v>0.022988</v>
      </c>
    </row>
    <row r="19">
      <c r="A19" t="n">
        <v>1945</v>
      </c>
      <c r="B19" s="22" t="n">
        <v>0.358211</v>
      </c>
      <c r="C19" s="22" t="n">
        <v>0.038044</v>
      </c>
      <c r="D19" s="22" t="n">
        <v>0.0038</v>
      </c>
      <c r="E19" s="22" t="n">
        <v>0.022472</v>
      </c>
    </row>
    <row r="20">
      <c r="A20" t="n">
        <v>1946</v>
      </c>
      <c r="B20" s="22" t="n">
        <v>-0.084291</v>
      </c>
      <c r="C20" s="22" t="n">
        <v>0.031284</v>
      </c>
      <c r="D20" s="22" t="n">
        <v>0.0038</v>
      </c>
      <c r="E20" s="22" t="n">
        <v>0.181319</v>
      </c>
    </row>
    <row r="21">
      <c r="A21" t="n">
        <v>1947</v>
      </c>
      <c r="B21" s="22" t="n">
        <v>0.052</v>
      </c>
      <c r="C21" s="22" t="n">
        <v>0.009197</v>
      </c>
      <c r="D21" s="22" t="n">
        <v>0.006008</v>
      </c>
      <c r="E21" s="22" t="n">
        <v>0.08837200000000001</v>
      </c>
    </row>
    <row r="22">
      <c r="A22" t="n">
        <v>1948</v>
      </c>
      <c r="B22" s="22" t="n">
        <v>0.057046</v>
      </c>
      <c r="C22" s="22" t="n">
        <v>0.01951</v>
      </c>
      <c r="D22" s="22" t="n">
        <v>0.01045</v>
      </c>
      <c r="E22" s="22" t="n">
        <v>0.029915</v>
      </c>
    </row>
    <row r="23">
      <c r="A23" t="n">
        <v>1949</v>
      </c>
      <c r="B23" s="22" t="n">
        <v>0.183032</v>
      </c>
      <c r="C23" s="22" t="n">
        <v>0.046635</v>
      </c>
      <c r="D23" s="22" t="n">
        <v>0.01115</v>
      </c>
      <c r="E23" s="22" t="n">
        <v>-0.020747</v>
      </c>
    </row>
    <row r="24">
      <c r="A24" t="n">
        <v>1950</v>
      </c>
      <c r="B24" s="22" t="n">
        <v>0.308055</v>
      </c>
      <c r="C24" s="22" t="n">
        <v>0.004296</v>
      </c>
      <c r="D24" s="22" t="n">
        <v>0.012033</v>
      </c>
      <c r="E24" s="22" t="n">
        <v>0.059322</v>
      </c>
    </row>
    <row r="25">
      <c r="A25" t="n">
        <v>1951</v>
      </c>
      <c r="B25" s="22" t="n">
        <v>0.236785</v>
      </c>
      <c r="C25" s="22" t="n">
        <v>-0.002953</v>
      </c>
      <c r="D25" s="22" t="n">
        <v>0.015175</v>
      </c>
      <c r="E25" s="22" t="n">
        <v>0.06</v>
      </c>
    </row>
    <row r="26">
      <c r="A26" t="n">
        <v>1952</v>
      </c>
      <c r="B26" s="22" t="n">
        <v>0.18151</v>
      </c>
      <c r="C26" s="22" t="n">
        <v>0.02268</v>
      </c>
      <c r="D26" s="22" t="n">
        <v>0.017225</v>
      </c>
      <c r="E26" s="22" t="n">
        <v>0.007547</v>
      </c>
    </row>
    <row r="27">
      <c r="A27" t="n">
        <v>1953</v>
      </c>
      <c r="B27" s="22" t="n">
        <v>-0.012082</v>
      </c>
      <c r="C27" s="22" t="n">
        <v>0.041438</v>
      </c>
      <c r="D27" s="22" t="n">
        <v>0.018908</v>
      </c>
      <c r="E27" s="22" t="n">
        <v>0.007491</v>
      </c>
    </row>
    <row r="28">
      <c r="A28" t="n">
        <v>1954</v>
      </c>
      <c r="B28" s="22" t="n">
        <v>0.525633</v>
      </c>
      <c r="C28" s="22" t="n">
        <v>0.032898</v>
      </c>
      <c r="D28" s="22" t="n">
        <v>0.009375</v>
      </c>
      <c r="E28" s="22" t="n">
        <v>-0.007435</v>
      </c>
    </row>
    <row r="29">
      <c r="A29" t="n">
        <v>1955</v>
      </c>
      <c r="B29" s="22" t="n">
        <v>0.325973</v>
      </c>
      <c r="C29" s="22" t="n">
        <v>-0.013364</v>
      </c>
      <c r="D29" s="22" t="n">
        <v>0.017243</v>
      </c>
      <c r="E29" s="22" t="n">
        <v>0.003745</v>
      </c>
    </row>
    <row r="30">
      <c r="A30" t="n">
        <v>1956</v>
      </c>
      <c r="B30" s="22" t="n">
        <v>0.074395</v>
      </c>
      <c r="C30" s="22" t="n">
        <v>-0.022558</v>
      </c>
      <c r="D30" s="22" t="n">
        <v>0.026214</v>
      </c>
      <c r="E30" s="22" t="n">
        <v>0.029851</v>
      </c>
    </row>
    <row r="31">
      <c r="A31" t="n">
        <v>1957</v>
      </c>
      <c r="B31" s="22" t="n">
        <v>-0.104574</v>
      </c>
      <c r="C31" s="22" t="n">
        <v>0.06797</v>
      </c>
      <c r="D31" s="22" t="n">
        <v>0.032246</v>
      </c>
      <c r="E31" s="22" t="n">
        <v>0.028986</v>
      </c>
    </row>
    <row r="32">
      <c r="A32" t="n">
        <v>1958</v>
      </c>
      <c r="B32" s="22" t="n">
        <v>0.4372</v>
      </c>
      <c r="C32" s="22" t="n">
        <v>-0.02099</v>
      </c>
      <c r="D32" s="22" t="n">
        <v>0.017665</v>
      </c>
      <c r="E32" s="22" t="n">
        <v>0.017606</v>
      </c>
    </row>
    <row r="33">
      <c r="A33" t="n">
        <v>1959</v>
      </c>
      <c r="B33" s="22" t="n">
        <v>0.120565</v>
      </c>
      <c r="C33" s="22" t="n">
        <v>-0.026466</v>
      </c>
      <c r="D33" s="22" t="n">
        <v>0.03386</v>
      </c>
      <c r="E33" s="22" t="n">
        <v>0.017301</v>
      </c>
    </row>
    <row r="34">
      <c r="A34" t="n">
        <v>1960</v>
      </c>
      <c r="B34" s="22" t="n">
        <v>0.003365</v>
      </c>
      <c r="C34" s="22" t="n">
        <v>0.116395</v>
      </c>
      <c r="D34" s="22" t="n">
        <v>0.02873</v>
      </c>
      <c r="E34" s="22" t="n">
        <v>0.013605</v>
      </c>
    </row>
    <row r="35">
      <c r="A35" t="n">
        <v>1961</v>
      </c>
      <c r="B35" s="22" t="n">
        <v>0.266377</v>
      </c>
      <c r="C35" s="22" t="n">
        <v>0.020609</v>
      </c>
      <c r="D35" s="22" t="n">
        <v>0.023525</v>
      </c>
      <c r="E35" s="22" t="n">
        <v>0.006711</v>
      </c>
    </row>
    <row r="36">
      <c r="A36" t="n">
        <v>1962</v>
      </c>
      <c r="B36" s="22" t="n">
        <v>-0.088115</v>
      </c>
      <c r="C36" s="22" t="n">
        <v>0.056935</v>
      </c>
      <c r="D36" s="22" t="n">
        <v>0.027724</v>
      </c>
      <c r="E36" s="22" t="n">
        <v>0.013333</v>
      </c>
    </row>
    <row r="37">
      <c r="A37" t="n">
        <v>1963</v>
      </c>
      <c r="B37" s="22" t="n">
        <v>0.226119</v>
      </c>
      <c r="C37" s="22" t="n">
        <v>0.016842</v>
      </c>
      <c r="D37" s="22" t="n">
        <v>0.03156</v>
      </c>
      <c r="E37" s="22" t="n">
        <v>0.016447</v>
      </c>
    </row>
    <row r="38">
      <c r="A38" t="n">
        <v>1964</v>
      </c>
      <c r="B38" s="22" t="n">
        <v>0.164155</v>
      </c>
      <c r="C38" s="22" t="n">
        <v>0.037281</v>
      </c>
      <c r="D38" s="22" t="n">
        <v>0.035457</v>
      </c>
      <c r="E38" s="22" t="n">
        <v>0.009709000000000001</v>
      </c>
    </row>
    <row r="39">
      <c r="A39" t="n">
        <v>1965</v>
      </c>
      <c r="B39" s="22" t="n">
        <v>0.123992</v>
      </c>
      <c r="C39" s="22" t="n">
        <v>0.007189</v>
      </c>
      <c r="D39" s="22" t="n">
        <v>0.039491</v>
      </c>
      <c r="E39" s="22" t="n">
        <v>0.019231</v>
      </c>
    </row>
    <row r="40">
      <c r="A40" t="n">
        <v>1966</v>
      </c>
      <c r="B40" s="22" t="n">
        <v>-0.09970999999999999</v>
      </c>
      <c r="C40" s="22" t="n">
        <v>0.029079</v>
      </c>
      <c r="D40" s="22" t="n">
        <v>0.048557</v>
      </c>
      <c r="E40" s="22" t="n">
        <v>0.034591</v>
      </c>
    </row>
    <row r="41">
      <c r="A41" t="n">
        <v>1967</v>
      </c>
      <c r="B41" s="22" t="n">
        <v>0.23803</v>
      </c>
      <c r="C41" s="22" t="n">
        <v>-0.015806</v>
      </c>
      <c r="D41" s="22" t="n">
        <v>0.042935</v>
      </c>
      <c r="E41" s="22" t="n">
        <v>0.030395</v>
      </c>
    </row>
    <row r="42">
      <c r="A42" t="n">
        <v>1968</v>
      </c>
      <c r="B42" s="22" t="n">
        <v>0.108149</v>
      </c>
      <c r="C42" s="22" t="n">
        <v>0.032746</v>
      </c>
      <c r="D42" s="22" t="n">
        <v>0.053376</v>
      </c>
      <c r="E42" s="22" t="n">
        <v>0.047198</v>
      </c>
    </row>
    <row r="43">
      <c r="A43" t="n">
        <v>1969</v>
      </c>
      <c r="B43" s="22" t="n">
        <v>-0.082414</v>
      </c>
      <c r="C43" s="22" t="n">
        <v>-0.05014</v>
      </c>
      <c r="D43" s="22" t="n">
        <v>0.06668499999999999</v>
      </c>
      <c r="E43" s="22" t="n">
        <v>0.061972</v>
      </c>
    </row>
    <row r="44">
      <c r="A44" t="n">
        <v>1970</v>
      </c>
      <c r="B44" s="22" t="n">
        <v>0.035611</v>
      </c>
      <c r="C44" s="22" t="n">
        <v>0.167547</v>
      </c>
      <c r="D44" s="22" t="n">
        <v>0.06390999999999999</v>
      </c>
      <c r="E44" s="22" t="n">
        <v>0.055703</v>
      </c>
    </row>
    <row r="45">
      <c r="A45" t="n">
        <v>1971</v>
      </c>
      <c r="B45" s="22" t="n">
        <v>0.142212</v>
      </c>
      <c r="C45" s="22" t="n">
        <v>0.097869</v>
      </c>
      <c r="D45" s="22" t="n">
        <v>0.043343</v>
      </c>
      <c r="E45" s="22" t="n">
        <v>0.032663</v>
      </c>
    </row>
    <row r="46">
      <c r="A46" t="n">
        <v>1972</v>
      </c>
      <c r="B46" s="22" t="n">
        <v>0.187554</v>
      </c>
      <c r="C46" s="22" t="n">
        <v>0.028184</v>
      </c>
      <c r="D46" s="22" t="n">
        <v>0.040618</v>
      </c>
      <c r="E46" s="22" t="n">
        <v>0.034063</v>
      </c>
    </row>
    <row r="47">
      <c r="A47" t="n">
        <v>1973</v>
      </c>
      <c r="B47" s="22" t="n">
        <v>-0.14308</v>
      </c>
      <c r="C47" s="22" t="n">
        <v>0.036587</v>
      </c>
      <c r="D47" s="22" t="n">
        <v>0.070354</v>
      </c>
      <c r="E47" s="22" t="n">
        <v>0.087059</v>
      </c>
    </row>
    <row r="48">
      <c r="A48" t="n">
        <v>1974</v>
      </c>
      <c r="B48" s="22" t="n">
        <v>-0.259018</v>
      </c>
      <c r="C48" s="22" t="n">
        <v>0.019886</v>
      </c>
      <c r="D48" s="22" t="n">
        <v>0.078458</v>
      </c>
      <c r="E48" s="22" t="n">
        <v>0.123377</v>
      </c>
    </row>
    <row r="49">
      <c r="A49" t="n">
        <v>1975</v>
      </c>
      <c r="B49" s="22" t="n">
        <v>0.369951</v>
      </c>
      <c r="C49" s="22" t="n">
        <v>0.036053</v>
      </c>
      <c r="D49" s="22" t="n">
        <v>0.057864</v>
      </c>
      <c r="E49" s="22" t="n">
        <v>0.069364</v>
      </c>
    </row>
    <row r="50">
      <c r="A50" t="n">
        <v>1976</v>
      </c>
      <c r="B50" s="22" t="n">
        <v>0.23831</v>
      </c>
      <c r="C50" s="22" t="n">
        <v>0.159846</v>
      </c>
      <c r="D50" s="22" t="n">
        <v>0.049766</v>
      </c>
      <c r="E50" s="22" t="n">
        <v>0.048649</v>
      </c>
    </row>
    <row r="51">
      <c r="A51" t="n">
        <v>1977</v>
      </c>
      <c r="B51" s="22" t="n">
        <v>-0.069797</v>
      </c>
      <c r="C51" s="22" t="n">
        <v>0.0129</v>
      </c>
      <c r="D51" s="22" t="n">
        <v>0.05261</v>
      </c>
      <c r="E51" s="22" t="n">
        <v>0.06701</v>
      </c>
    </row>
    <row r="52">
      <c r="A52" t="n">
        <v>1978</v>
      </c>
      <c r="B52" s="22" t="n">
        <v>0.065093</v>
      </c>
      <c r="C52" s="22" t="n">
        <v>-0.007776</v>
      </c>
      <c r="D52" s="22" t="n">
        <v>0.071783</v>
      </c>
      <c r="E52" s="22" t="n">
        <v>0.09017699999999999</v>
      </c>
    </row>
    <row r="53">
      <c r="A53" t="n">
        <v>1979</v>
      </c>
      <c r="B53" s="22" t="n">
        <v>0.185195</v>
      </c>
      <c r="C53" s="22" t="n">
        <v>0.006707</v>
      </c>
      <c r="D53" s="22" t="n">
        <v>0.100543</v>
      </c>
      <c r="E53" s="22" t="n">
        <v>0.132939</v>
      </c>
    </row>
    <row r="54">
      <c r="A54" t="n">
        <v>1980</v>
      </c>
      <c r="B54" s="22" t="n">
        <v>0.317352</v>
      </c>
      <c r="C54" s="22" t="n">
        <v>-0.029897</v>
      </c>
      <c r="D54" s="22" t="n">
        <v>0.113919</v>
      </c>
      <c r="E54" s="22" t="n">
        <v>0.125163</v>
      </c>
    </row>
    <row r="55">
      <c r="A55" t="n">
        <v>1981</v>
      </c>
      <c r="B55" s="22" t="n">
        <v>-0.047024</v>
      </c>
      <c r="C55" s="22" t="n">
        <v>0.081992</v>
      </c>
      <c r="D55" s="22" t="n">
        <v>0.140362</v>
      </c>
      <c r="E55" s="22" t="n">
        <v>0.089224</v>
      </c>
    </row>
    <row r="56">
      <c r="A56" t="n">
        <v>1982</v>
      </c>
      <c r="B56" s="22" t="n">
        <v>0.204191</v>
      </c>
      <c r="C56" s="22" t="n">
        <v>0.328145</v>
      </c>
      <c r="D56" s="22" t="n">
        <v>0.1109</v>
      </c>
      <c r="E56" s="22" t="n">
        <v>0.038298</v>
      </c>
    </row>
    <row r="57">
      <c r="A57" t="n">
        <v>1983</v>
      </c>
      <c r="B57" s="22" t="n">
        <v>0.223372</v>
      </c>
      <c r="C57" s="22" t="n">
        <v>0.032002</v>
      </c>
      <c r="D57" s="22" t="n">
        <v>0.0895</v>
      </c>
      <c r="E57" s="22" t="n">
        <v>0.03791</v>
      </c>
    </row>
    <row r="58">
      <c r="A58" t="n">
        <v>1984</v>
      </c>
      <c r="B58" s="22" t="n">
        <v>0.061461</v>
      </c>
      <c r="C58" s="22" t="n">
        <v>0.137334</v>
      </c>
      <c r="D58" s="22" t="n">
        <v>0.0992</v>
      </c>
      <c r="E58" s="22" t="n">
        <v>0.039487</v>
      </c>
    </row>
    <row r="59">
      <c r="A59" t="n">
        <v>1985</v>
      </c>
      <c r="B59" s="22" t="n">
        <v>0.312351</v>
      </c>
      <c r="C59" s="22" t="n">
        <v>0.257125</v>
      </c>
      <c r="D59" s="22" t="n">
        <v>0.0772</v>
      </c>
      <c r="E59" s="22" t="n">
        <v>0.037987</v>
      </c>
    </row>
    <row r="60">
      <c r="A60" t="n">
        <v>1986</v>
      </c>
      <c r="B60" s="22" t="n">
        <v>0.184946</v>
      </c>
      <c r="C60" s="22" t="n">
        <v>0.242842</v>
      </c>
      <c r="D60" s="22" t="n">
        <v>0.0615</v>
      </c>
      <c r="E60" s="22" t="n">
        <v>0.010979</v>
      </c>
    </row>
    <row r="61">
      <c r="A61" t="n">
        <v>1987</v>
      </c>
      <c r="B61" s="22" t="n">
        <v>0.058127</v>
      </c>
      <c r="C61" s="22" t="n">
        <v>-0.049605</v>
      </c>
      <c r="D61" s="22" t="n">
        <v>0.0596</v>
      </c>
      <c r="E61" s="22" t="n">
        <v>0.044344</v>
      </c>
    </row>
    <row r="62">
      <c r="A62" t="n">
        <v>1988</v>
      </c>
      <c r="B62" s="22" t="n">
        <v>0.165372</v>
      </c>
      <c r="C62" s="22" t="n">
        <v>0.082236</v>
      </c>
      <c r="D62" s="22" t="n">
        <v>0.0689</v>
      </c>
      <c r="E62" s="22" t="n">
        <v>0.044194</v>
      </c>
    </row>
    <row r="63">
      <c r="A63" t="n">
        <v>1989</v>
      </c>
      <c r="B63" s="22" t="n">
        <v>0.314752</v>
      </c>
      <c r="C63" s="22" t="n">
        <v>0.176936</v>
      </c>
      <c r="D63" s="22" t="n">
        <v>0.0839</v>
      </c>
      <c r="E63" s="22" t="n">
        <v>0.046473</v>
      </c>
    </row>
    <row r="64">
      <c r="A64" t="n">
        <v>1990</v>
      </c>
      <c r="B64" s="22" t="n">
        <v>-0.030645</v>
      </c>
      <c r="C64" s="22" t="n">
        <v>0.062354</v>
      </c>
      <c r="D64" s="22" t="n">
        <v>0.0775</v>
      </c>
      <c r="E64" s="22" t="n">
        <v>0.061063</v>
      </c>
    </row>
    <row r="65">
      <c r="A65" t="n">
        <v>1991</v>
      </c>
      <c r="B65" s="22" t="n">
        <v>0.302348</v>
      </c>
      <c r="C65" s="22" t="n">
        <v>0.150045</v>
      </c>
      <c r="D65" s="22" t="n">
        <v>0.0554</v>
      </c>
      <c r="E65" s="22" t="n">
        <v>0.030643</v>
      </c>
    </row>
    <row r="66">
      <c r="A66" t="n">
        <v>1992</v>
      </c>
      <c r="B66" s="22" t="n">
        <v>0.074937</v>
      </c>
      <c r="C66" s="22" t="n">
        <v>0.093616</v>
      </c>
      <c r="D66" s="22" t="n">
        <v>0.0351</v>
      </c>
      <c r="E66" s="22" t="n">
        <v>0.029007</v>
      </c>
    </row>
    <row r="67">
      <c r="A67" t="n">
        <v>1993</v>
      </c>
      <c r="B67" s="22" t="n">
        <v>0.099671</v>
      </c>
      <c r="C67" s="22" t="n">
        <v>0.14211</v>
      </c>
      <c r="D67" s="22" t="n">
        <v>0.0307</v>
      </c>
      <c r="E67" s="22" t="n">
        <v>0.027484</v>
      </c>
    </row>
    <row r="68">
      <c r="A68" t="n">
        <v>1994</v>
      </c>
      <c r="B68" s="22" t="n">
        <v>0.013259</v>
      </c>
      <c r="C68" s="22" t="n">
        <v>-0.08036699999999999</v>
      </c>
      <c r="D68" s="22" t="n">
        <v>0.0437</v>
      </c>
      <c r="E68" s="22" t="n">
        <v>0.026749</v>
      </c>
    </row>
    <row r="69">
      <c r="A69" t="n">
        <v>1995</v>
      </c>
      <c r="B69" s="22" t="n">
        <v>0.371952</v>
      </c>
      <c r="C69" s="22" t="n">
        <v>0.234808</v>
      </c>
      <c r="D69" s="22" t="n">
        <v>0.0566</v>
      </c>
      <c r="E69" s="22" t="n">
        <v>0.025384</v>
      </c>
    </row>
    <row r="70">
      <c r="A70" t="n">
        <v>1996</v>
      </c>
      <c r="B70" s="22" t="n">
        <v>0.22681</v>
      </c>
      <c r="C70" s="22" t="n">
        <v>0.014286</v>
      </c>
      <c r="D70" s="22" t="n">
        <v>0.0515</v>
      </c>
      <c r="E70" s="22" t="n">
        <v>0.033225</v>
      </c>
    </row>
    <row r="71">
      <c r="A71" t="n">
        <v>1997</v>
      </c>
      <c r="B71" s="22" t="n">
        <v>0.331037</v>
      </c>
      <c r="C71" s="22" t="n">
        <v>0.09939099999999999</v>
      </c>
      <c r="D71" s="22" t="n">
        <v>0.052</v>
      </c>
      <c r="E71" s="22" t="n">
        <v>0.017024</v>
      </c>
    </row>
    <row r="72">
      <c r="A72" t="n">
        <v>1998</v>
      </c>
      <c r="B72" s="22" t="n">
        <v>0.28338</v>
      </c>
      <c r="C72" s="22" t="n">
        <v>0.149214</v>
      </c>
      <c r="D72" s="22" t="n">
        <v>0.0491</v>
      </c>
      <c r="E72" s="22" t="n">
        <v>0.016119</v>
      </c>
    </row>
    <row r="73">
      <c r="A73" t="n">
        <v>1999</v>
      </c>
      <c r="B73" s="22" t="n">
        <v>0.208854</v>
      </c>
      <c r="C73" s="22" t="n">
        <v>-0.082542</v>
      </c>
      <c r="D73" s="22" t="n">
        <v>0.0478</v>
      </c>
      <c r="E73" s="22" t="n">
        <v>0.026846</v>
      </c>
    </row>
    <row r="74">
      <c r="A74" t="n">
        <v>2000</v>
      </c>
      <c r="B74" s="22" t="n">
        <v>-0.090318</v>
      </c>
      <c r="C74" s="22" t="n">
        <v>0.166553</v>
      </c>
      <c r="D74" s="22" t="n">
        <v>0.06</v>
      </c>
      <c r="E74" s="22" t="n">
        <v>0.033868</v>
      </c>
    </row>
    <row r="75">
      <c r="A75" t="n">
        <v>2001</v>
      </c>
      <c r="B75" s="22" t="n">
        <v>-0.118498</v>
      </c>
      <c r="C75" s="22" t="n">
        <v>0.055722</v>
      </c>
      <c r="D75" s="22" t="n">
        <v>0.0348</v>
      </c>
      <c r="E75" s="22" t="n">
        <v>0.015517</v>
      </c>
    </row>
    <row r="76">
      <c r="A76" t="n">
        <v>2002</v>
      </c>
      <c r="B76" s="22" t="n">
        <v>-0.21966</v>
      </c>
      <c r="C76" s="22" t="n">
        <v>0.151164</v>
      </c>
      <c r="D76" s="22" t="n">
        <v>0.0164</v>
      </c>
      <c r="E76" s="22" t="n">
        <v>0.023769</v>
      </c>
    </row>
    <row r="77">
      <c r="A77" t="n">
        <v>2003</v>
      </c>
      <c r="B77" s="22" t="n">
        <v>0.283558</v>
      </c>
      <c r="C77" s="22" t="n">
        <v>0.003753</v>
      </c>
      <c r="D77" s="22" t="n">
        <v>0.0103</v>
      </c>
      <c r="E77" s="22" t="n">
        <v>0.018795</v>
      </c>
    </row>
    <row r="78">
      <c r="A78" t="n">
        <v>2004</v>
      </c>
      <c r="B78" s="22" t="n">
        <v>0.107428</v>
      </c>
      <c r="C78" s="22" t="n">
        <v>0.044907</v>
      </c>
      <c r="D78" s="22" t="n">
        <v>0.014</v>
      </c>
      <c r="E78" s="22" t="n">
        <v>0.032556</v>
      </c>
    </row>
    <row r="79">
      <c r="A79" t="n">
        <v>2005</v>
      </c>
      <c r="B79" s="22" t="n">
        <v>0.048345</v>
      </c>
      <c r="C79" s="22" t="n">
        <v>0.028675</v>
      </c>
      <c r="D79" s="22" t="n">
        <v>0.0322</v>
      </c>
      <c r="E79" s="22" t="n">
        <v>0.034157</v>
      </c>
    </row>
    <row r="80">
      <c r="A80" t="n">
        <v>2006</v>
      </c>
      <c r="B80" s="22" t="n">
        <v>0.156126</v>
      </c>
      <c r="C80" s="22" t="n">
        <v>0.01961</v>
      </c>
      <c r="D80" s="22" t="n">
        <v>0.0485</v>
      </c>
      <c r="E80" s="22" t="n">
        <v>0.025406</v>
      </c>
    </row>
    <row r="81">
      <c r="A81" t="n">
        <v>2007</v>
      </c>
      <c r="B81" s="22" t="n">
        <v>0.054847</v>
      </c>
      <c r="C81" s="22" t="n">
        <v>0.102099</v>
      </c>
      <c r="D81" s="22" t="n">
        <v>0.0448</v>
      </c>
      <c r="E81" s="22" t="n">
        <v>0.040813</v>
      </c>
    </row>
    <row r="82">
      <c r="A82" t="n">
        <v>2008</v>
      </c>
      <c r="B82" s="22" t="n">
        <v>-0.365523</v>
      </c>
      <c r="C82" s="22" t="n">
        <v>0.201013</v>
      </c>
      <c r="D82" s="22" t="n">
        <v>0.014</v>
      </c>
      <c r="E82" s="22" t="n">
        <v>0.000914</v>
      </c>
    </row>
    <row r="83">
      <c r="A83" t="n">
        <v>2009</v>
      </c>
      <c r="B83" s="22" t="n">
        <v>0.259352</v>
      </c>
      <c r="C83" s="22" t="n">
        <v>-0.111167</v>
      </c>
      <c r="D83" s="22" t="n">
        <v>0.0015</v>
      </c>
      <c r="E83" s="22" t="n">
        <v>0.027213</v>
      </c>
    </row>
    <row r="84">
      <c r="A84" t="n">
        <v>2010</v>
      </c>
      <c r="B84" s="22" t="n">
        <v>0.148211</v>
      </c>
      <c r="C84" s="22" t="n">
        <v>0.084629</v>
      </c>
      <c r="D84" s="22" t="n">
        <v>0.0014</v>
      </c>
      <c r="E84" s="22" t="n">
        <v>0.014957</v>
      </c>
    </row>
    <row r="85">
      <c r="A85" t="n">
        <v>2011</v>
      </c>
      <c r="B85" s="22" t="n">
        <v>0.020984</v>
      </c>
      <c r="C85" s="22" t="n">
        <v>0.160353</v>
      </c>
      <c r="D85" s="22" t="n">
        <v>0.0005</v>
      </c>
      <c r="E85" s="22" t="n">
        <v>0.029624</v>
      </c>
    </row>
    <row r="86">
      <c r="A86" t="n">
        <v>2012</v>
      </c>
      <c r="B86" s="22" t="n">
        <v>0.158906</v>
      </c>
      <c r="C86" s="22" t="n">
        <v>0.029716</v>
      </c>
      <c r="D86" s="22" t="n">
        <v>0.0009</v>
      </c>
      <c r="E86" s="22" t="n">
        <v>0.01741</v>
      </c>
    </row>
    <row r="87">
      <c r="A87" t="n">
        <v>2013</v>
      </c>
      <c r="B87" s="22" t="n">
        <v>0.321451</v>
      </c>
      <c r="C87" s="22" t="n">
        <v>-0.091046</v>
      </c>
      <c r="D87" s="22" t="n">
        <v>0.0005999999999999999</v>
      </c>
      <c r="E87" s="22" t="n">
        <v>0.015017</v>
      </c>
    </row>
    <row r="88">
      <c r="A88" t="n">
        <v>2014</v>
      </c>
      <c r="B88" s="22" t="n">
        <v>0.135244</v>
      </c>
      <c r="C88" s="22" t="n">
        <v>0.107462</v>
      </c>
      <c r="D88" s="22" t="n">
        <v>0.0003</v>
      </c>
      <c r="E88" s="22" t="n">
        <v>0.007565</v>
      </c>
    </row>
    <row r="89">
      <c r="A89" t="n">
        <v>2015</v>
      </c>
      <c r="B89" s="22" t="n">
        <v>0.013789</v>
      </c>
      <c r="C89" s="22" t="n">
        <v>0.012843</v>
      </c>
      <c r="D89" s="22" t="n">
        <v>0.0005</v>
      </c>
      <c r="E89" s="22" t="n">
        <v>0.007295</v>
      </c>
    </row>
    <row r="90">
      <c r="A90" t="n">
        <v>2016</v>
      </c>
      <c r="B90" s="22" t="n">
        <v>0.117731</v>
      </c>
      <c r="C90" s="22" t="n">
        <v>0.006906</v>
      </c>
      <c r="D90" s="22" t="n">
        <v>0.0032</v>
      </c>
      <c r="E90" s="22" t="n">
        <v>0.020746</v>
      </c>
    </row>
    <row r="91">
      <c r="A91" t="n">
        <v>2017</v>
      </c>
      <c r="B91" s="22" t="n">
        <v>0.216055</v>
      </c>
      <c r="C91" s="22" t="n">
        <v>0.028017</v>
      </c>
      <c r="D91" s="22" t="n">
        <v>0.0095</v>
      </c>
      <c r="E91" s="22" t="n">
        <v>0.021091</v>
      </c>
    </row>
    <row r="92">
      <c r="A92" t="n">
        <v>2018</v>
      </c>
      <c r="B92" s="22" t="n">
        <v>-0.042269</v>
      </c>
      <c r="C92" s="22" t="n">
        <v>-0.000167</v>
      </c>
      <c r="D92" s="22" t="n">
        <v>0.0197</v>
      </c>
      <c r="E92" s="22" t="n">
        <v>0.019102</v>
      </c>
    </row>
    <row r="93">
      <c r="A93" t="n">
        <v>2019</v>
      </c>
      <c r="B93" s="22" t="n">
        <v>0.312117</v>
      </c>
      <c r="C93" s="22" t="n">
        <v>0.096356</v>
      </c>
      <c r="D93" s="22" t="n">
        <v>0.0211</v>
      </c>
      <c r="E93" s="22" t="n">
        <v>0.022851</v>
      </c>
    </row>
    <row r="94">
      <c r="A94" t="n">
        <v>2020</v>
      </c>
      <c r="B94" s="22" t="n">
        <v>0.180232</v>
      </c>
      <c r="C94" s="22" t="n">
        <v>0.113319</v>
      </c>
      <c r="D94" s="22" t="n">
        <v>0.0036</v>
      </c>
      <c r="E94" s="22" t="n">
        <v>0.01362</v>
      </c>
    </row>
    <row r="95">
      <c r="A95" t="n">
        <v>2021</v>
      </c>
      <c r="B95" s="22" t="n">
        <v>0.284689</v>
      </c>
      <c r="C95" s="22" t="n">
        <v>-0.04416</v>
      </c>
      <c r="D95" s="22" t="n">
        <v>0.0004</v>
      </c>
      <c r="E95" s="22" t="n">
        <v>0.070364</v>
      </c>
    </row>
    <row r="96">
      <c r="A96" t="n">
        <v>2022</v>
      </c>
      <c r="B96" s="22" t="n">
        <v>-0.180375</v>
      </c>
      <c r="C96" s="22" t="n">
        <v>-0.178282</v>
      </c>
      <c r="D96" s="22" t="n">
        <v>0.0209</v>
      </c>
      <c r="E96" s="22" t="n">
        <v>0.064544</v>
      </c>
    </row>
    <row r="97">
      <c r="A97" t="n">
        <v>2023</v>
      </c>
      <c r="B97" s="22" t="n">
        <v>0.260607</v>
      </c>
      <c r="C97" s="22" t="n">
        <v>0.0388</v>
      </c>
      <c r="D97" s="22" t="n">
        <v>0.0528</v>
      </c>
      <c r="E97" s="22" t="n">
        <v>0.033521</v>
      </c>
    </row>
    <row r="98">
      <c r="A98" t="n">
        <v>2024</v>
      </c>
      <c r="B98" s="22" t="n">
        <v>0.248786</v>
      </c>
      <c r="C98" s="22" t="n">
        <v>-0.016372</v>
      </c>
      <c r="D98" s="22" t="n">
        <v>0.0518</v>
      </c>
      <c r="E98" s="22" t="n">
        <v>0.028881</v>
      </c>
    </row>
    <row r="99">
      <c r="A99" t="n">
        <v>2025</v>
      </c>
      <c r="B99" s="22" t="n">
        <v>0.177237</v>
      </c>
      <c r="C99" s="22" t="n">
        <v>0.077955</v>
      </c>
      <c r="D99" s="22" t="n">
        <v>0.0421</v>
      </c>
      <c r="E99" s="22" t="n">
        <v>0.027351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sheetData>
    <row r="1">
      <c r="A1" s="19" t="inlineStr">
        <is>
          <t>age</t>
        </is>
      </c>
      <c r="B1" s="19" t="inlineStr">
        <is>
          <t>male_death_probability</t>
        </is>
      </c>
      <c r="C1" s="19" t="inlineStr">
        <is>
          <t>female_death_probability</t>
        </is>
      </c>
      <c r="E1" t="inlineStr">
        <is>
          <t>Probability of dying within a year at each age. US Social Security period life table for 2023 (as used in the 2026 Trustees Report). The Monte Carlo shifts it by the extra years of life expectancy set on the monte_carlo tab.</t>
        </is>
      </c>
    </row>
    <row r="2">
      <c r="A2" t="n">
        <v>0</v>
      </c>
      <c r="B2" t="n">
        <v>0.006015</v>
      </c>
      <c r="C2" t="n">
        <v>0.005125</v>
      </c>
    </row>
    <row r="3">
      <c r="A3" t="n">
        <v>1</v>
      </c>
      <c r="B3" t="n">
        <v>0.000479</v>
      </c>
      <c r="C3" t="n">
        <v>0.000392</v>
      </c>
    </row>
    <row r="4">
      <c r="A4" t="n">
        <v>2</v>
      </c>
      <c r="B4" t="n">
        <v>0.00032</v>
      </c>
      <c r="C4" t="n">
        <v>0.000229</v>
      </c>
    </row>
    <row r="5">
      <c r="A5" t="n">
        <v>3</v>
      </c>
      <c r="B5" t="n">
        <v>0.000249</v>
      </c>
      <c r="C5" t="n">
        <v>0.000188</v>
      </c>
    </row>
    <row r="6">
      <c r="A6" t="n">
        <v>4</v>
      </c>
      <c r="B6" t="n">
        <v>0.000194</v>
      </c>
      <c r="C6" t="n">
        <v>0.000155</v>
      </c>
    </row>
    <row r="7">
      <c r="A7" t="n">
        <v>5</v>
      </c>
      <c r="B7" t="n">
        <v>0.000159</v>
      </c>
      <c r="C7" t="n">
        <v>0.000133</v>
      </c>
    </row>
    <row r="8">
      <c r="A8" t="n">
        <v>6</v>
      </c>
      <c r="B8" t="n">
        <v>0.000137</v>
      </c>
      <c r="C8" t="n">
        <v>0.000115</v>
      </c>
    </row>
    <row r="9">
      <c r="A9" t="n">
        <v>7</v>
      </c>
      <c r="B9" t="n">
        <v>0.000125</v>
      </c>
      <c r="C9" t="n">
        <v>0.000105</v>
      </c>
    </row>
    <row r="10">
      <c r="A10" t="n">
        <v>8</v>
      </c>
      <c r="B10" t="n">
        <v>0.00012</v>
      </c>
      <c r="C10" t="n">
        <v>0.0001</v>
      </c>
    </row>
    <row r="11">
      <c r="A11" t="n">
        <v>9</v>
      </c>
      <c r="B11" t="n">
        <v>0.00012</v>
      </c>
      <c r="C11" t="n">
        <v>9.8e-05</v>
      </c>
    </row>
    <row r="12">
      <c r="A12" t="n">
        <v>10</v>
      </c>
      <c r="B12" t="n">
        <v>0.000125</v>
      </c>
      <c r="C12" t="n">
        <v>0.000101</v>
      </c>
    </row>
    <row r="13">
      <c r="A13" t="n">
        <v>11</v>
      </c>
      <c r="B13" t="n">
        <v>0.00014</v>
      </c>
      <c r="C13" t="n">
        <v>0.000111</v>
      </c>
    </row>
    <row r="14">
      <c r="A14" t="n">
        <v>12</v>
      </c>
      <c r="B14" t="n">
        <v>0.000173</v>
      </c>
      <c r="C14" t="n">
        <v>0.000126</v>
      </c>
    </row>
    <row r="15">
      <c r="A15" t="n">
        <v>13</v>
      </c>
      <c r="B15" t="n">
        <v>0.000233</v>
      </c>
      <c r="C15" t="n">
        <v>0.000152</v>
      </c>
    </row>
    <row r="16">
      <c r="A16" t="n">
        <v>14</v>
      </c>
      <c r="B16" t="n">
        <v>0.000327</v>
      </c>
      <c r="C16" t="n">
        <v>0.000188</v>
      </c>
    </row>
    <row r="17">
      <c r="A17" t="n">
        <v>15</v>
      </c>
      <c r="B17" t="n">
        <v>0.000463</v>
      </c>
      <c r="C17" t="n">
        <v>0.000229</v>
      </c>
    </row>
    <row r="18">
      <c r="A18" t="n">
        <v>16</v>
      </c>
      <c r="B18" t="n">
        <v>0.000634</v>
      </c>
      <c r="C18" t="n">
        <v>0.000273</v>
      </c>
    </row>
    <row r="19">
      <c r="A19" t="n">
        <v>17</v>
      </c>
      <c r="B19" t="n">
        <v>0.000819</v>
      </c>
      <c r="C19" t="n">
        <v>0.000323</v>
      </c>
    </row>
    <row r="20">
      <c r="A20" t="n">
        <v>18</v>
      </c>
      <c r="B20" t="n">
        <v>0.0009990000000000001</v>
      </c>
      <c r="C20" t="n">
        <v>0.000372</v>
      </c>
    </row>
    <row r="21">
      <c r="A21" t="n">
        <v>19</v>
      </c>
      <c r="B21" t="n">
        <v>0.001138</v>
      </c>
      <c r="C21" t="n">
        <v>0.00041</v>
      </c>
    </row>
    <row r="22">
      <c r="A22" t="n">
        <v>20</v>
      </c>
      <c r="B22" t="n">
        <v>0.001235</v>
      </c>
      <c r="C22" t="n">
        <v>0.000441</v>
      </c>
    </row>
    <row r="23">
      <c r="A23" t="n">
        <v>21</v>
      </c>
      <c r="B23" t="n">
        <v>0.001315</v>
      </c>
      <c r="C23" t="n">
        <v>0.000476</v>
      </c>
    </row>
    <row r="24">
      <c r="A24" t="n">
        <v>22</v>
      </c>
      <c r="B24" t="n">
        <v>0.001378</v>
      </c>
      <c r="C24" t="n">
        <v>0.000513</v>
      </c>
    </row>
    <row r="25">
      <c r="A25" t="n">
        <v>23</v>
      </c>
      <c r="B25" t="n">
        <v>0.001439</v>
      </c>
      <c r="C25" t="n">
        <v>0.000546</v>
      </c>
    </row>
    <row r="26">
      <c r="A26" t="n">
        <v>24</v>
      </c>
      <c r="B26" t="n">
        <v>0.001509</v>
      </c>
      <c r="C26" t="n">
        <v>0.0005820000000000001</v>
      </c>
    </row>
    <row r="27">
      <c r="A27" t="n">
        <v>25</v>
      </c>
      <c r="B27" t="n">
        <v>0.001595</v>
      </c>
      <c r="C27" t="n">
        <v>0.0006089999999999999</v>
      </c>
    </row>
    <row r="28">
      <c r="A28" t="n">
        <v>26</v>
      </c>
      <c r="B28" t="n">
        <v>0.001685</v>
      </c>
      <c r="C28" t="n">
        <v>0.000641</v>
      </c>
    </row>
    <row r="29">
      <c r="A29" t="n">
        <v>27</v>
      </c>
      <c r="B29" t="n">
        <v>0.001783</v>
      </c>
      <c r="C29" t="n">
        <v>0.000683</v>
      </c>
    </row>
    <row r="30">
      <c r="A30" t="n">
        <v>28</v>
      </c>
      <c r="B30" t="n">
        <v>0.001876</v>
      </c>
      <c r="C30" t="n">
        <v>0.00074</v>
      </c>
    </row>
    <row r="31">
      <c r="A31" t="n">
        <v>29</v>
      </c>
      <c r="B31" t="n">
        <v>0.00197</v>
      </c>
      <c r="C31" t="n">
        <v>0.000808</v>
      </c>
    </row>
    <row r="32">
      <c r="A32" t="n">
        <v>30</v>
      </c>
      <c r="B32" t="n">
        <v>0.002085</v>
      </c>
      <c r="C32" t="n">
        <v>0.000878</v>
      </c>
    </row>
    <row r="33">
      <c r="A33" t="n">
        <v>31</v>
      </c>
      <c r="B33" t="n">
        <v>0.002202</v>
      </c>
      <c r="C33" t="n">
        <v>0.000947</v>
      </c>
    </row>
    <row r="34">
      <c r="A34" t="n">
        <v>32</v>
      </c>
      <c r="B34" t="n">
        <v>0.002308</v>
      </c>
      <c r="C34" t="n">
        <v>0.001018</v>
      </c>
    </row>
    <row r="35">
      <c r="A35" t="n">
        <v>33</v>
      </c>
      <c r="B35" t="n">
        <v>0.002407</v>
      </c>
      <c r="C35" t="n">
        <v>0.001089</v>
      </c>
    </row>
    <row r="36">
      <c r="A36" t="n">
        <v>34</v>
      </c>
      <c r="B36" t="n">
        <v>0.00249</v>
      </c>
      <c r="C36" t="n">
        <v>0.001154</v>
      </c>
    </row>
    <row r="37">
      <c r="A37" t="n">
        <v>35</v>
      </c>
      <c r="B37" t="n">
        <v>0.002577</v>
      </c>
      <c r="C37" t="n">
        <v>0.001209</v>
      </c>
    </row>
    <row r="38">
      <c r="A38" t="n">
        <v>36</v>
      </c>
      <c r="B38" t="n">
        <v>0.002665</v>
      </c>
      <c r="C38" t="n">
        <v>0.001263</v>
      </c>
    </row>
    <row r="39">
      <c r="A39" t="n">
        <v>37</v>
      </c>
      <c r="B39" t="n">
        <v>0.002764</v>
      </c>
      <c r="C39" t="n">
        <v>0.001347</v>
      </c>
    </row>
    <row r="40">
      <c r="A40" t="n">
        <v>38</v>
      </c>
      <c r="B40" t="n">
        <v>0.002864</v>
      </c>
      <c r="C40" t="n">
        <v>0.001438</v>
      </c>
    </row>
    <row r="41">
      <c r="A41" t="n">
        <v>39</v>
      </c>
      <c r="B41" t="n">
        <v>0.002987</v>
      </c>
      <c r="C41" t="n">
        <v>0.001533</v>
      </c>
    </row>
    <row r="42">
      <c r="A42" t="n">
        <v>40</v>
      </c>
      <c r="B42" t="n">
        <v>0.003115</v>
      </c>
      <c r="C42" t="n">
        <v>0.001643</v>
      </c>
    </row>
    <row r="43">
      <c r="A43" t="n">
        <v>41</v>
      </c>
      <c r="B43" t="n">
        <v>0.003253</v>
      </c>
      <c r="C43" t="n">
        <v>0.001742</v>
      </c>
    </row>
    <row r="44">
      <c r="A44" t="n">
        <v>42</v>
      </c>
      <c r="B44" t="n">
        <v>0.003419</v>
      </c>
      <c r="C44" t="n">
        <v>0.001845</v>
      </c>
    </row>
    <row r="45">
      <c r="A45" t="n">
        <v>43</v>
      </c>
      <c r="B45" t="n">
        <v>0.0036</v>
      </c>
      <c r="C45" t="n">
        <v>0.001954</v>
      </c>
    </row>
    <row r="46">
      <c r="A46" t="n">
        <v>44</v>
      </c>
      <c r="B46" t="n">
        <v>0.003777</v>
      </c>
      <c r="C46" t="n">
        <v>0.002075</v>
      </c>
    </row>
    <row r="47">
      <c r="A47" t="n">
        <v>45</v>
      </c>
      <c r="B47" t="n">
        <v>0.003931</v>
      </c>
      <c r="C47" t="n">
        <v>0.002187</v>
      </c>
    </row>
    <row r="48">
      <c r="A48" t="n">
        <v>46</v>
      </c>
      <c r="B48" t="n">
        <v>0.004073</v>
      </c>
      <c r="C48" t="n">
        <v>0.002306</v>
      </c>
    </row>
    <row r="49">
      <c r="A49" t="n">
        <v>47</v>
      </c>
      <c r="B49" t="n">
        <v>0.004245</v>
      </c>
      <c r="C49" t="n">
        <v>0.002438</v>
      </c>
    </row>
    <row r="50">
      <c r="A50" t="n">
        <v>48</v>
      </c>
      <c r="B50" t="n">
        <v>0.004477</v>
      </c>
      <c r="C50" t="n">
        <v>0.002595</v>
      </c>
    </row>
    <row r="51">
      <c r="A51" t="n">
        <v>49</v>
      </c>
      <c r="B51" t="n">
        <v>0.004795</v>
      </c>
      <c r="C51" t="n">
        <v>0.002791</v>
      </c>
    </row>
    <row r="52">
      <c r="A52" t="n">
        <v>50</v>
      </c>
      <c r="B52" t="n">
        <v>0.005126</v>
      </c>
      <c r="C52" t="n">
        <v>0.00303</v>
      </c>
    </row>
    <row r="53">
      <c r="A53" t="n">
        <v>51</v>
      </c>
      <c r="B53" t="n">
        <v>0.005496</v>
      </c>
      <c r="C53" t="n">
        <v>0.003288</v>
      </c>
    </row>
    <row r="54">
      <c r="A54" t="n">
        <v>52</v>
      </c>
      <c r="B54" t="n">
        <v>0.005917</v>
      </c>
      <c r="C54" t="n">
        <v>0.003554</v>
      </c>
    </row>
    <row r="55">
      <c r="A55" t="n">
        <v>53</v>
      </c>
      <c r="B55" t="n">
        <v>0.006404</v>
      </c>
      <c r="C55" t="n">
        <v>0.003847</v>
      </c>
    </row>
    <row r="56">
      <c r="A56" t="n">
        <v>54</v>
      </c>
      <c r="B56" t="n">
        <v>0.006923</v>
      </c>
      <c r="C56" t="n">
        <v>0.004172</v>
      </c>
    </row>
    <row r="57">
      <c r="A57" t="n">
        <v>55</v>
      </c>
      <c r="B57" t="n">
        <v>0.007491</v>
      </c>
      <c r="C57" t="n">
        <v>0.004532</v>
      </c>
    </row>
    <row r="58">
      <c r="A58" t="n">
        <v>56</v>
      </c>
      <c r="B58" t="n">
        <v>0.008173</v>
      </c>
      <c r="C58" t="n">
        <v>0.004923</v>
      </c>
    </row>
    <row r="59">
      <c r="A59" t="n">
        <v>57</v>
      </c>
      <c r="B59" t="n">
        <v>0.008938</v>
      </c>
      <c r="C59" t="n">
        <v>0.005365</v>
      </c>
    </row>
    <row r="60">
      <c r="A60" t="n">
        <v>58</v>
      </c>
      <c r="B60" t="n">
        <v>0.009714</v>
      </c>
      <c r="C60" t="n">
        <v>0.005815</v>
      </c>
    </row>
    <row r="61">
      <c r="A61" t="n">
        <v>59</v>
      </c>
      <c r="B61" t="n">
        <v>0.010494</v>
      </c>
      <c r="C61" t="n">
        <v>0.006333</v>
      </c>
    </row>
    <row r="62">
      <c r="A62" t="n">
        <v>60</v>
      </c>
      <c r="B62" t="n">
        <v>0.011337</v>
      </c>
      <c r="C62" t="n">
        <v>0.006923</v>
      </c>
    </row>
    <row r="63">
      <c r="A63" t="n">
        <v>61</v>
      </c>
      <c r="B63" t="n">
        <v>0.012232</v>
      </c>
      <c r="C63" t="n">
        <v>0.007555</v>
      </c>
    </row>
    <row r="64">
      <c r="A64" t="n">
        <v>62</v>
      </c>
      <c r="B64" t="n">
        <v>0.013196</v>
      </c>
      <c r="C64" t="n">
        <v>0.00822</v>
      </c>
    </row>
    <row r="65">
      <c r="A65" t="n">
        <v>63</v>
      </c>
      <c r="B65" t="n">
        <v>0.014229</v>
      </c>
      <c r="C65" t="n">
        <v>0.008881</v>
      </c>
    </row>
    <row r="66">
      <c r="A66" t="n">
        <v>64</v>
      </c>
      <c r="B66" t="n">
        <v>0.015316</v>
      </c>
      <c r="C66" t="n">
        <v>0.009514</v>
      </c>
    </row>
    <row r="67">
      <c r="A67" t="n">
        <v>65</v>
      </c>
      <c r="B67" t="n">
        <v>0.016455</v>
      </c>
      <c r="C67" t="n">
        <v>0.010188</v>
      </c>
    </row>
    <row r="68">
      <c r="A68" t="n">
        <v>66</v>
      </c>
      <c r="B68" t="n">
        <v>0.017574</v>
      </c>
      <c r="C68" t="n">
        <v>0.01088</v>
      </c>
    </row>
    <row r="69">
      <c r="A69" t="n">
        <v>67</v>
      </c>
      <c r="B69" t="n">
        <v>0.018735</v>
      </c>
      <c r="C69" t="n">
        <v>0.011659</v>
      </c>
    </row>
    <row r="70">
      <c r="A70" t="n">
        <v>68</v>
      </c>
      <c r="B70" t="n">
        <v>0.019981</v>
      </c>
      <c r="C70" t="n">
        <v>0.012543</v>
      </c>
    </row>
    <row r="71">
      <c r="A71" t="n">
        <v>69</v>
      </c>
      <c r="B71" t="n">
        <v>0.021366</v>
      </c>
      <c r="C71" t="n">
        <v>0.013581</v>
      </c>
    </row>
    <row r="72">
      <c r="A72" t="n">
        <v>70</v>
      </c>
      <c r="B72" t="n">
        <v>0.022903</v>
      </c>
      <c r="C72" t="n">
        <v>0.014769</v>
      </c>
    </row>
    <row r="73">
      <c r="A73" t="n">
        <v>71</v>
      </c>
      <c r="B73" t="n">
        <v>0.024615</v>
      </c>
      <c r="C73" t="n">
        <v>0.016153</v>
      </c>
    </row>
    <row r="74">
      <c r="A74" t="n">
        <v>72</v>
      </c>
      <c r="B74" t="n">
        <v>0.026504</v>
      </c>
      <c r="C74" t="n">
        <v>0.017705</v>
      </c>
    </row>
    <row r="75">
      <c r="A75" t="n">
        <v>73</v>
      </c>
      <c r="B75" t="n">
        <v>0.028648</v>
      </c>
      <c r="C75" t="n">
        <v>0.019495</v>
      </c>
    </row>
    <row r="76">
      <c r="A76" t="n">
        <v>74</v>
      </c>
      <c r="B76" t="n">
        <v>0.031071</v>
      </c>
      <c r="C76" t="n">
        <v>0.021533</v>
      </c>
    </row>
    <row r="77">
      <c r="A77" t="n">
        <v>75</v>
      </c>
      <c r="B77" t="n">
        <v>0.033802</v>
      </c>
      <c r="C77" t="n">
        <v>0.023846</v>
      </c>
    </row>
    <row r="78">
      <c r="A78" t="n">
        <v>76</v>
      </c>
      <c r="B78" t="n">
        <v>0.03701</v>
      </c>
      <c r="C78" t="n">
        <v>0.026458</v>
      </c>
    </row>
    <row r="79">
      <c r="A79" t="n">
        <v>77</v>
      </c>
      <c r="B79" t="n">
        <v>0.041158</v>
      </c>
      <c r="C79" t="n">
        <v>0.0297</v>
      </c>
    </row>
    <row r="80">
      <c r="A80" t="n">
        <v>78</v>
      </c>
      <c r="B80" t="n">
        <v>0.045461</v>
      </c>
      <c r="C80" t="n">
        <v>0.033135</v>
      </c>
    </row>
    <row r="81">
      <c r="A81" t="n">
        <v>79</v>
      </c>
      <c r="B81" t="n">
        <v>0.050346</v>
      </c>
      <c r="C81" t="n">
        <v>0.036982</v>
      </c>
    </row>
    <row r="82">
      <c r="A82" t="n">
        <v>80</v>
      </c>
      <c r="B82" t="n">
        <v>0.055633</v>
      </c>
      <c r="C82" t="n">
        <v>0.041183</v>
      </c>
    </row>
    <row r="83">
      <c r="A83" t="n">
        <v>81</v>
      </c>
      <c r="B83" t="n">
        <v>0.061757</v>
      </c>
      <c r="C83" t="n">
        <v>0.045959</v>
      </c>
    </row>
    <row r="84">
      <c r="A84" t="n">
        <v>82</v>
      </c>
      <c r="B84" t="n">
        <v>0.068358</v>
      </c>
      <c r="C84" t="n">
        <v>0.051282</v>
      </c>
    </row>
    <row r="85">
      <c r="A85" t="n">
        <v>83</v>
      </c>
      <c r="B85" t="n">
        <v>0.07542</v>
      </c>
      <c r="C85" t="n">
        <v>0.057262</v>
      </c>
    </row>
    <row r="86">
      <c r="A86" t="n">
        <v>84</v>
      </c>
      <c r="B86" t="n">
        <v>0.08336399999999999</v>
      </c>
      <c r="C86" t="n">
        <v>0.064107</v>
      </c>
    </row>
    <row r="87">
      <c r="A87" t="n">
        <v>85</v>
      </c>
      <c r="B87" t="n">
        <v>0.09268</v>
      </c>
      <c r="C87" t="n">
        <v>0.071752</v>
      </c>
    </row>
    <row r="88">
      <c r="A88" t="n">
        <v>86</v>
      </c>
      <c r="B88" t="n">
        <v>0.103459</v>
      </c>
      <c r="C88" t="n">
        <v>0.08049000000000001</v>
      </c>
    </row>
    <row r="89">
      <c r="A89" t="n">
        <v>87</v>
      </c>
      <c r="B89" t="n">
        <v>0.115502</v>
      </c>
      <c r="C89" t="n">
        <v>0.09056599999999999</v>
      </c>
    </row>
    <row r="90">
      <c r="A90" t="n">
        <v>88</v>
      </c>
      <c r="B90" t="n">
        <v>0.129018</v>
      </c>
      <c r="C90" t="n">
        <v>0.102204</v>
      </c>
    </row>
    <row r="91">
      <c r="A91" t="n">
        <v>89</v>
      </c>
      <c r="B91" t="n">
        <v>0.14381</v>
      </c>
      <c r="C91" t="n">
        <v>0.115178</v>
      </c>
    </row>
    <row r="92">
      <c r="A92" t="n">
        <v>90</v>
      </c>
      <c r="B92" t="n">
        <v>0.159458</v>
      </c>
      <c r="C92" t="n">
        <v>0.129176</v>
      </c>
    </row>
    <row r="93">
      <c r="A93" t="n">
        <v>91</v>
      </c>
      <c r="B93" t="n">
        <v>0.176551</v>
      </c>
      <c r="C93" t="n">
        <v>0.144229</v>
      </c>
    </row>
    <row r="94">
      <c r="A94" t="n">
        <v>92</v>
      </c>
      <c r="B94" t="n">
        <v>0.19536</v>
      </c>
      <c r="C94" t="n">
        <v>0.160353</v>
      </c>
    </row>
    <row r="95">
      <c r="A95" t="n">
        <v>93</v>
      </c>
      <c r="B95" t="n">
        <v>0.216286</v>
      </c>
      <c r="C95" t="n">
        <v>0.177635</v>
      </c>
    </row>
    <row r="96">
      <c r="A96" t="n">
        <v>94</v>
      </c>
      <c r="B96" t="n">
        <v>0.238799</v>
      </c>
      <c r="C96" t="n">
        <v>0.196502</v>
      </c>
    </row>
    <row r="97">
      <c r="A97" t="n">
        <v>95</v>
      </c>
      <c r="B97" t="n">
        <v>0.262268</v>
      </c>
      <c r="C97" t="n">
        <v>0.216846</v>
      </c>
    </row>
    <row r="98">
      <c r="A98" t="n">
        <v>96</v>
      </c>
      <c r="B98" t="n">
        <v>0.286291</v>
      </c>
      <c r="C98" t="n">
        <v>0.23875</v>
      </c>
    </row>
    <row r="99">
      <c r="A99" t="n">
        <v>97</v>
      </c>
      <c r="B99" t="n">
        <v>0.310944</v>
      </c>
      <c r="C99" t="n">
        <v>0.261359</v>
      </c>
    </row>
    <row r="100">
      <c r="A100" t="n">
        <v>98</v>
      </c>
      <c r="B100" t="n">
        <v>0.332325</v>
      </c>
      <c r="C100" t="n">
        <v>0.283899</v>
      </c>
    </row>
    <row r="101">
      <c r="A101" t="n">
        <v>99</v>
      </c>
      <c r="B101" t="n">
        <v>0.349036</v>
      </c>
      <c r="C101" t="n">
        <v>0.306491</v>
      </c>
    </row>
    <row r="102">
      <c r="A102" t="n">
        <v>100</v>
      </c>
      <c r="B102" t="n">
        <v>0.366568</v>
      </c>
      <c r="C102" t="n">
        <v>0.32968</v>
      </c>
    </row>
    <row r="103">
      <c r="A103" t="n">
        <v>101</v>
      </c>
      <c r="B103" t="n">
        <v>0.38496</v>
      </c>
      <c r="C103" t="n">
        <v>0.353333</v>
      </c>
    </row>
    <row r="104">
      <c r="A104" t="n">
        <v>102</v>
      </c>
      <c r="B104" t="n">
        <v>0.404252</v>
      </c>
      <c r="C104" t="n">
        <v>0.3773</v>
      </c>
    </row>
    <row r="105">
      <c r="A105" t="n">
        <v>103</v>
      </c>
      <c r="B105" t="n">
        <v>0.424488</v>
      </c>
      <c r="C105" t="n">
        <v>0.401416</v>
      </c>
    </row>
    <row r="106">
      <c r="A106" t="n">
        <v>104</v>
      </c>
      <c r="B106" t="n">
        <v>0.445712</v>
      </c>
      <c r="C106" t="n">
        <v>0.425501</v>
      </c>
    </row>
    <row r="107">
      <c r="A107" t="n">
        <v>105</v>
      </c>
      <c r="B107" t="n">
        <v>0.467998</v>
      </c>
      <c r="C107" t="n">
        <v>0.451031</v>
      </c>
    </row>
    <row r="108">
      <c r="A108" t="n">
        <v>106</v>
      </c>
      <c r="B108" t="n">
        <v>0.491398</v>
      </c>
      <c r="C108" t="n">
        <v>0.478092</v>
      </c>
    </row>
    <row r="109">
      <c r="A109" t="n">
        <v>107</v>
      </c>
      <c r="B109" t="n">
        <v>0.515968</v>
      </c>
      <c r="C109" t="n">
        <v>0.506778</v>
      </c>
    </row>
    <row r="110">
      <c r="A110" t="n">
        <v>108</v>
      </c>
      <c r="B110" t="n">
        <v>0.541766</v>
      </c>
      <c r="C110" t="n">
        <v>0.537185</v>
      </c>
    </row>
    <row r="111">
      <c r="A111" t="n">
        <v>109</v>
      </c>
      <c r="B111" t="n">
        <v>0.568854</v>
      </c>
      <c r="C111" t="n">
        <v>0.568854</v>
      </c>
    </row>
    <row r="112">
      <c r="A112" t="n">
        <v>110</v>
      </c>
      <c r="B112" t="n">
        <v>0.597297</v>
      </c>
      <c r="C112" t="n">
        <v>0.597297</v>
      </c>
    </row>
    <row r="113">
      <c r="A113" t="n">
        <v>111</v>
      </c>
      <c r="B113" t="n">
        <v>0.627162</v>
      </c>
      <c r="C113" t="n">
        <v>0.627162</v>
      </c>
    </row>
    <row r="114">
      <c r="A114" t="n">
        <v>112</v>
      </c>
      <c r="B114" t="n">
        <v>0.65852</v>
      </c>
      <c r="C114" t="n">
        <v>0.65852</v>
      </c>
    </row>
    <row r="115">
      <c r="A115" t="n">
        <v>113</v>
      </c>
      <c r="B115" t="n">
        <v>0.691446</v>
      </c>
      <c r="C115" t="n">
        <v>0.691446</v>
      </c>
    </row>
    <row r="116">
      <c r="A116" t="n">
        <v>114</v>
      </c>
      <c r="B116" t="n">
        <v>0.7260180000000001</v>
      </c>
      <c r="C116" t="n">
        <v>0.7260180000000001</v>
      </c>
    </row>
    <row r="117">
      <c r="A117" t="n">
        <v>115</v>
      </c>
      <c r="B117" t="n">
        <v>0.762319</v>
      </c>
      <c r="C117" t="n">
        <v>0.762319</v>
      </c>
    </row>
    <row r="118">
      <c r="A118" t="n">
        <v>116</v>
      </c>
      <c r="B118" t="n">
        <v>0.800435</v>
      </c>
      <c r="C118" t="n">
        <v>0.800435</v>
      </c>
    </row>
    <row r="119">
      <c r="A119" t="n">
        <v>117</v>
      </c>
      <c r="B119" t="n">
        <v>0.840457</v>
      </c>
      <c r="C119" t="n">
        <v>0.840457</v>
      </c>
    </row>
    <row r="120">
      <c r="A120" t="n">
        <v>118</v>
      </c>
      <c r="B120" t="n">
        <v>0.88248</v>
      </c>
      <c r="C120" t="n">
        <v>0.88248</v>
      </c>
    </row>
    <row r="121">
      <c r="A121" t="n">
        <v>119</v>
      </c>
      <c r="B121" t="n">
        <v>0.926604</v>
      </c>
      <c r="C121" t="n">
        <v>0.926604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4" customWidth="1" min="1" max="1"/>
    <col width="14" customWidth="1" min="2" max="2"/>
  </cols>
  <sheetData>
    <row r="1">
      <c r="A1" s="1" t="inlineStr">
        <is>
          <t>Monte Carlo: every scenario replayed through history</t>
        </is>
      </c>
    </row>
    <row r="2">
      <c r="A2" t="inlineStr">
        <is>
          <t>Each run replaces the Model tab's flat return and inflation with a stretch of real history (historical_returns tab) and draws lifetimes from the life_table tab. Change the yellow cells, then run the Monte Carlo (see README). Results are written below, in today's dollars.</t>
        </is>
      </c>
    </row>
    <row r="4">
      <c r="A4" s="2" t="inlineStr">
        <is>
          <t>SETTINGS</t>
        </is>
      </c>
    </row>
    <row r="5">
      <c r="A5" t="inlineStr">
        <is>
          <t>Stocks</t>
        </is>
      </c>
      <c r="B5" s="14" t="n">
        <v>0.6</v>
      </c>
      <c r="C5" t="inlineStr">
        <is>
          <t>Share of investments in stocks (historical_returns 'stocks' column)</t>
        </is>
      </c>
    </row>
    <row r="6">
      <c r="A6" t="inlineStr">
        <is>
          <t>Bonds</t>
        </is>
      </c>
      <c r="B6" s="14" t="n">
        <v>0.4</v>
      </c>
      <c r="C6" t="inlineStr">
        <is>
          <t>Share in bonds ('bonds' column)</t>
        </is>
      </c>
    </row>
    <row r="7">
      <c r="A7" t="inlineStr">
        <is>
          <t>Cash</t>
        </is>
      </c>
      <c r="B7" s="14" t="n">
        <v>0</v>
      </c>
      <c r="C7" t="inlineStr">
        <is>
          <t>Share in cash ('bills' column); the three should add to 100%</t>
        </is>
      </c>
    </row>
    <row r="8">
      <c r="A8" t="inlineStr">
        <is>
          <t>Random runs per scenario</t>
        </is>
      </c>
      <c r="B8" s="20" t="n">
        <v>1000</v>
      </c>
      <c r="C8" t="inlineStr">
        <is>
          <t>0 = historical starting years only</t>
        </is>
      </c>
    </row>
    <row r="9">
      <c r="A9" t="inlineStr">
        <is>
          <t>Block length for random runs (years)</t>
        </is>
      </c>
      <c r="B9" s="20" t="n">
        <v>10</v>
      </c>
      <c r="C9" t="inlineStr">
        <is>
          <t>Random runs stitch together blocks of this many consecutive years of history</t>
        </is>
      </c>
    </row>
    <row r="10">
      <c r="A10" t="inlineStr">
        <is>
          <t>Random seed</t>
        </is>
      </c>
      <c r="B10" s="20" t="n">
        <v>1</v>
      </c>
      <c r="C10" t="inlineStr">
        <is>
          <t>Change it to draw a different set of random runs</t>
        </is>
      </c>
    </row>
    <row r="11">
      <c r="A11" t="inlineStr">
        <is>
          <t>Scenarios to run</t>
        </is>
      </c>
      <c r="B11" s="20" t="inlineStr"/>
      <c r="C11" t="inlineStr">
        <is>
          <t>Comma-separated Model tab names; blank = every Model tab</t>
        </is>
      </c>
    </row>
    <row r="12">
      <c r="A12" t="inlineStr">
        <is>
          <t>Alex: extra years of life expectancy</t>
        </is>
      </c>
      <c r="B12" s="20" t="n">
        <v>3</v>
      </c>
      <c r="C12" t="inlineStr">
        <is>
          <t>Years added to the life table's average. Healthier, higher-income people live longer (often +3 to +6). More years is the cautious direction</t>
        </is>
      </c>
    </row>
    <row r="13">
      <c r="A13" t="inlineStr">
        <is>
          <t>Jordan: extra years of life expectancy</t>
        </is>
      </c>
      <c r="B13" s="20" t="n">
        <v>3</v>
      </c>
      <c r="C13" t="inlineStr">
        <is>
          <t>Same for person 2</t>
        </is>
      </c>
    </row>
    <row r="14">
      <c r="A14" t="inlineStr">
        <is>
          <t>Survivor spending</t>
        </is>
      </c>
      <c r="B14" s="14" t="n">
        <v>0.7</v>
      </c>
      <c r="C14" t="inlineStr">
        <is>
          <t>After the first death, household and other spending as a share of the couple's</t>
        </is>
      </c>
    </row>
    <row r="15">
      <c r="A15" t="inlineStr">
        <is>
          <t>Lifetimes drawn per historical start</t>
        </is>
      </c>
      <c r="B15" s="20" t="n">
        <v>20</v>
      </c>
      <c r="C15" t="inlineStr">
        <is>
          <t>Each historical start is run with this many random pairs of lifetimes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2026-09-30T13:25:19Z</dcterms:created>
  <dcterms:modified xsi:type="dcterms:W3CDTF">2026-09-30T13:25:19Z</dcterms:modified>
</cp:coreProperties>
</file>