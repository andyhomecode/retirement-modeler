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odel - Example" sheetId="2" state="visible" r:id="rId2"/>
    <sheet name="household" sheetId="3" state="visible" r:id="rId3"/>
    <sheet name="budget" sheetId="4" state="visible" r:id="rId4"/>
    <sheet name="kids_budget" sheetId="5" state="visible" r:id="rId5"/>
    <sheet name="other_budget" sheetId="6" state="visible" r:id="rId6"/>
    <sheet name="properties" sheetId="7" state="visible" r:id="rId7"/>
    <sheet name="healthcare" sheetId="8" state="visible" r:id="rId8"/>
    <sheet name="assets" sheetId="9" state="visible" r:id="rId9"/>
    <sheet name="tax_tables" sheetId="10" state="visible" r:id="rId10"/>
    <sheet name="historical_returns" sheetId="11" state="visible" r:id="rId11"/>
    <sheet name="life_table" sheetId="12" state="visible" r:id="rId12"/>
    <sheet name="monte_carlo"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5">
    <font>
      <name val="Calibri"/>
      <family val="2"/>
      <color theme="1"/>
      <sz val="11"/>
      <scheme val="minor"/>
    </font>
    <font>
      <b val="1"/>
    </font>
    <font>
      <b val="1"/>
      <sz val="14"/>
    </font>
    <font>
      <b val="1"/>
      <color rgb="00FFFFFF"/>
    </font>
    <font>
      <i val="1"/>
      <color rgb="00808080"/>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1F4E78"/>
      </patternFill>
    </fill>
    <fill>
      <patternFill patternType="solid">
        <fgColor rgb="00E2EFDA"/>
      </patternFill>
    </fill>
  </fills>
  <borders count="1">
    <border>
      <left/>
      <right/>
      <top/>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vertical="top" wrapText="1"/>
    </xf>
    <xf numFmtId="0" fontId="3" fillId="5" borderId="0" pivotButton="0" quotePrefix="0" xfId="0"/>
    <xf numFmtId="0" fontId="0" fillId="5" borderId="0" pivotButton="0" quotePrefix="0" xfId="0"/>
    <xf numFmtId="1" fontId="0" fillId="3" borderId="0" pivotButton="0" quotePrefix="0" xfId="0"/>
    <xf numFmtId="3" fontId="1" fillId="6" borderId="0" pivotButton="0" quotePrefix="0" xfId="0"/>
    <xf numFmtId="3" fontId="0" fillId="3" borderId="0" pivotButton="0" quotePrefix="0" xfId="0"/>
    <xf numFmtId="1" fontId="1" fillId="6" borderId="0" pivotButton="0" quotePrefix="0" xfId="0"/>
    <xf numFmtId="164" fontId="0" fillId="3" borderId="0" pivotButton="0" quotePrefix="0" xfId="0"/>
    <xf numFmtId="164" fontId="1" fillId="6" borderId="0" pivotButton="0" quotePrefix="0" xfId="0"/>
    <xf numFmtId="165" fontId="0" fillId="0" borderId="0" pivotButton="0" quotePrefix="0" xfId="0"/>
    <xf numFmtId="9" fontId="0" fillId="3" borderId="0" pivotButton="0" quotePrefix="0" xfId="0"/>
    <xf numFmtId="3" fontId="0" fillId="0" borderId="0" pivotButton="0" quotePrefix="0" xfId="0"/>
    <xf numFmtId="0" fontId="1" fillId="2" borderId="0" applyAlignment="1" pivotButton="0" quotePrefix="0" xfId="0">
      <alignment vertical="top" wrapText="1"/>
    </xf>
    <xf numFmtId="1" fontId="0" fillId="4" borderId="0" pivotButton="0" quotePrefix="0" xfId="0"/>
    <xf numFmtId="3" fontId="0" fillId="4" borderId="0" pivotButton="0" quotePrefix="0" xfId="0"/>
    <xf numFmtId="0" fontId="1" fillId="2" borderId="0" pivotButton="0" quotePrefix="0" xfId="0"/>
    <xf numFmtId="0" fontId="0" fillId="3" borderId="0" pivotButton="0" quotePrefix="0" xfId="0"/>
    <xf numFmtId="0" fontId="4" fillId="0" borderId="0" pivotButton="0" quotePrefix="0" xfId="0"/>
    <xf numFmtId="1" fontId="0" fillId="0" borderId="0" pivotButton="0" quotePrefix="0" xfId="0"/>
    <xf numFmtId="164" fontId="0" fillId="0" borderId="0" pivotButton="0" quotePrefix="0" xfId="0"/>
    <xf numFmtId="3" fontId="0" fillId="6" borderId="0" pivotButton="0" quotePrefix="0" xfId="0"/>
    <xf numFmtId="0" fontId="0" fillId="4" borderId="0" pivotButton="0" quotePrefix="0" xfId="0"/>
    <xf numFmtId="3" fontId="1" fillId="0" borderId="0" pivotButton="0" quotePrefix="0" xfId="0"/>
    <xf numFmtId="10" fontId="0" fillId="3"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model</author>
  </authors>
  <commentList>
    <comment ref="G80" authorId="0" shapeId="0">
      <text>
        <t>Everything withdrawn from your accounts this year (incl. required withdrawals and dividends), less anything reinvested</t>
      </text>
    </comment>
    <comment ref="J80" authorId="0" shapeId="0">
      <text>
        <t>Investments + home and property equity, in today's dollars. Before any tax due on death</t>
      </text>
    </comment>
    <comment ref="K80" authorId="0" shapeId="0">
      <text>
        <t>Non-zero means every account is empty - you'd have to sell property or cut spending</t>
      </text>
    </comment>
    <comment ref="L80" authorId="0" shapeId="0">
      <text>
        <t>Type a return for any year to test a bad sequence, e.g. -20% then 0% for ten years</t>
      </text>
    </comment>
    <comment ref="N80" authorId="0" shapeId="0">
      <text>
        <t>Scale the household budget in any year, e.g. 90% from the year you downsize, 70% in a belt-tightening scenario</t>
      </text>
    </comment>
    <comment ref="P80" authorId="0" shapeId="0">
      <text>
        <t>Price level vs TAX_YEAR: indexed tax amounts grow with it</t>
      </text>
    </comment>
    <comment ref="Q80" authorId="0" shapeId="0">
      <text>
        <t>Tax-law index without the years the province isn't indexing</t>
      </text>
    </comment>
    <comment ref="AR80" authorId="0" shapeId="0">
      <text>
        <t>Paid off from the sale proceeds if you sell</t>
      </text>
    </comment>
    <comment ref="BC80" authorId="0" shapeId="0">
      <text>
        <t>What's left stays the kids' money</t>
      </text>
    </comment>
    <comment ref="BF80" authorId="0" shapeId="0">
      <text>
        <t>Provincial health insurance covers the rest</t>
      </text>
    </comment>
    <comment ref="BK80" authorId="0" shapeId="0">
      <text>
        <t>Other properties' rent less all their cash costs, unless sold or changed on this tab</t>
      </text>
    </comment>
    <comment ref="BM80" authorId="0" shapeId="0">
      <text>
        <t>Losses aren't deducted (conservative)</t>
      </text>
    </comment>
    <comment ref="BU80" authorId="0" shapeId="0">
      <text>
        <t>Before the clawback (that's in the tax columns)</t>
      </text>
    </comment>
    <comment ref="BV80" authorId="0" shapeId="0">
      <text>
        <t>Before the clawback (that's in the tax columns)</t>
      </text>
    </comment>
    <comment ref="CJ80" authorId="0" shapeId="0">
      <text>
        <t>Taken as cash; taxed as income</t>
      </text>
    </comment>
    <comment ref="CN80" authorId="0" shapeId="0">
      <text>
        <t>Taxes are settled the following April; negative = refund</t>
      </text>
    </comment>
    <comment ref="CQ80" authorId="0" shapeId="0">
      <text>
        <t>Order: non-registered first, then RRSP/RRIF (split by what each of you has), then TFSA</t>
      </text>
    </comment>
    <comment ref="CW80" authorId="0" shapeId="0">
      <text>
        <t>Up to the TFSA room; the rest goes to the non-registered account</t>
      </text>
    </comment>
    <comment ref="DG80" authorId="0" shapeId="0">
      <text>
        <t>Joint investment and property income is split by the household tab's share</t>
      </text>
    </comment>
    <comment ref="DJ80" authorId="0" shapeId="0">
      <text>
        <t>Joint investment and property income is split by the household tab's share</t>
      </text>
    </comment>
    <comment ref="DK80" authorId="0" shapeId="0">
      <text>
        <t>Workplace pensions (any age) and RRIF income (65+) can be split up to 50%; the model evens out your incomes</t>
      </text>
    </comment>
    <comment ref="DT80" authorId="0" shapeId="0">
      <text>
        <t>Claimed by the spouse with the lower net income</t>
      </text>
    </comment>
    <comment ref="DU80" authorId="0" shapeId="0">
      <text>
        <t>Basic personal, age, pension, employment, CPP/EI and medical amounts</t>
      </text>
    </comment>
    <comment ref="DY80" authorId="0" shapeId="0">
      <text>
        <t>Basic personal, age, pension, employment, CPP/EI and medical amounts</t>
      </text>
    </comment>
    <comment ref="ED80" authorId="0" shapeId="0">
      <text>
        <t>Your accounts; excludes the kids' college funds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Retirement plan</t>
        </is>
      </c>
    </row>
    <row r="2">
      <c r="A2" t="inlineStr">
        <is>
          <t>A year-by-year retirement model for a couple, with a Monte Carlo test against history. See the project README for how to use it with Claude.</t>
        </is>
      </c>
    </row>
    <row r="3">
      <c r="A3" t="inlineStr"/>
    </row>
    <row r="4">
      <c r="A4" s="2" t="inlineStr">
        <is>
          <t>Tabs</t>
        </is>
      </c>
    </row>
    <row r="5">
      <c r="A5" t="inlineStr">
        <is>
          <t>Model - ...: a scenario. Yellow cells are its inputs (when you stop working, pensions, property sales, one-off events). Duplicate the tab to try another scenario.</t>
        </is>
      </c>
    </row>
    <row r="6">
      <c r="A6" t="inlineStr">
        <is>
          <t>household: names, birth years, CPP and OAS, kids.</t>
        </is>
      </c>
    </row>
    <row r="7">
      <c r="A7" t="inlineStr">
        <is>
          <t>budget: 12 months of spending by category (the statement pipeline fills it). The retirement_budget column is what the model spends.</t>
        </is>
      </c>
    </row>
    <row r="8">
      <c r="A8" t="inlineStr">
        <is>
          <t>kids_budget: one line per kid and cost (support, college, help after college), each with its own years and amount.</t>
        </is>
      </c>
    </row>
    <row r="9">
      <c r="A9" t="inlineStr">
        <is>
          <t>other_budget: renovations, cars and other big irregular costs, per year.</t>
        </is>
      </c>
    </row>
    <row r="10">
      <c r="A10" t="inlineStr">
        <is>
          <t>properties: your home and any other properties.</t>
        </is>
      </c>
    </row>
    <row r="11">
      <c r="A11" t="inlineStr">
        <is>
          <t>healthcare: private health/dental plan, out-of-pocket and long-term care costs.</t>
        </is>
      </c>
    </row>
    <row r="12">
      <c r="A12" t="inlineStr">
        <is>
          <t>assets: every account, its balance and which bucket it feeds.</t>
        </is>
      </c>
    </row>
    <row r="13">
      <c r="A13" t="inlineStr">
        <is>
          <t>tax_tables: the tax law the model uses (federal + your province). Edit to change state/province or update the law.</t>
        </is>
      </c>
    </row>
    <row r="14">
      <c r="A14" t="inlineStr">
        <is>
          <t>monte_carlo: settings and results of the Monte Carlo, which compares every Model tab (run it from the command line).</t>
        </is>
      </c>
    </row>
    <row r="15">
      <c r="A15" t="inlineStr">
        <is>
          <t>historical_returns, life_table: data for the Monte Carlo.</t>
        </is>
      </c>
    </row>
    <row r="16">
      <c r="A16" t="inlineStr"/>
    </row>
    <row r="17">
      <c r="A17" s="2" t="inlineStr">
        <is>
          <t>What the model does each year</t>
        </is>
      </c>
    </row>
    <row r="18">
      <c r="A18" t="inlineStr">
        <is>
          <t>1. Adds up living costs: household budget, housing, kids, college shortfall, other costs, healthcare, long-term care, one-off expenses.</t>
        </is>
      </c>
    </row>
    <row r="19">
      <c r="A19" t="inlineStr">
        <is>
          <t>2. Adds up income: take-home pay, CPP and OAS, property income, dividends, required withdrawals, sales, one-off income.</t>
        </is>
      </c>
    </row>
    <row r="20">
      <c r="A20" t="inlineStr">
        <is>
          <t>3. Covers any gap from non-registered accounts, then RRSP/RRIF, then TFSA; a surplus is reinvested.</t>
        </is>
      </c>
    </row>
    <row r="21">
      <c r="A21" t="inlineStr">
        <is>
          <t>4. Computes that year's income tax on what actually happened and pays it the following April.</t>
        </is>
      </c>
    </row>
    <row r="22">
      <c r="A22" t="inlineStr"/>
    </row>
    <row r="23">
      <c r="A23" t="inlineStr">
        <is>
          <t>Colors: yellow = input you can change; green = headline result; blue bands group the model columns.</t>
        </is>
      </c>
    </row>
    <row r="24">
      <c r="A24" t="inlineStr">
        <is>
          <t>Not financial advice. Tax rules are simplified; check important decisions with a professional.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E123"/>
  <sheetViews>
    <sheetView workbookViewId="0">
      <pane xSplit="1" topLeftCell="B1" activePane="topRight" state="frozen"/>
      <selection pane="topRight" activeCell="A1" sqref="A1"/>
    </sheetView>
  </sheetViews>
  <sheetFormatPr baseColWidth="8" defaultRowHeight="15"/>
  <cols>
    <col width="46" customWidth="1" min="1" max="1"/>
    <col width="13" customWidth="1" min="2" max="2"/>
    <col width="13" customWidth="1" min="3" max="3"/>
    <col width="12" customWidth="1" min="4" max="4"/>
    <col width="40"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s>
  <sheetData>
    <row r="1">
      <c r="A1" s="1" t="inlineStr">
        <is>
          <t>Retirement model - Example</t>
        </is>
      </c>
    </row>
    <row r="2" ht="30" customHeight="1">
      <c r="A2" s="3" t="inlineStr">
        <is>
          <t>Yellow cells are this scenario's inputs. To try another scenario: right-click this tab &gt; Duplicate, rename it 'Model - &lt;name&gt;', change its yellow cells. Shared facts (budgets, properties, accounts, healthcare, tax law) are on the other tabs. Don't insert or delete rows on this tab.</t>
        </is>
      </c>
    </row>
    <row r="4">
      <c r="A4" s="4" t="inlineStr">
        <is>
          <t>WORK</t>
        </is>
      </c>
      <c r="B4" s="5" t="n"/>
      <c r="C4" s="5" t="n"/>
      <c r="E4" s="4" t="inlineStr">
        <is>
          <t>RESULTS (today's dollars)</t>
        </is>
      </c>
      <c r="F4" s="5" t="n"/>
      <c r="G4" s="5" t="n"/>
    </row>
    <row r="5">
      <c r="A5">
        <f>household!$B$5&amp;"'s first year without a paycheck"</f>
        <v/>
      </c>
      <c r="B5" s="6" t="n">
        <v>2030</v>
      </c>
      <c r="C5" t="inlineStr">
        <is>
          <t>The year after the last working year</t>
        </is>
      </c>
      <c r="E5">
        <f>"Net worth when "&amp;household!$B$5&amp;" is 70"</f>
        <v/>
      </c>
      <c r="G5" s="7">
        <f>IFERROR(INDEX($J$81:$J$123,MATCH(household!$B$6+70,$A$81:$A$123,0)),"")</f>
        <v/>
      </c>
    </row>
    <row r="6">
      <c r="A6">
        <f>household!$B$8&amp;"'s first year without a paycheck"</f>
        <v/>
      </c>
      <c r="B6" s="6" t="n">
        <v>2031</v>
      </c>
      <c r="C6" t="inlineStr"/>
      <c r="E6" t="inlineStr">
        <is>
          <t>... at 80</t>
        </is>
      </c>
      <c r="G6" s="7">
        <f>IFERROR(INDEX($J$81:$J$123,MATCH(household!$B$6+80,$A$81:$A$123,0)),"")</f>
        <v/>
      </c>
    </row>
    <row r="7">
      <c r="A7">
        <f>household!$B$5&amp;"'s pay per year while working (today's $)"</f>
        <v/>
      </c>
      <c r="B7" s="8" t="n">
        <v>165000</v>
      </c>
      <c r="C7" t="inlineStr">
        <is>
          <t>Salary + bonus + stock vesting</t>
        </is>
      </c>
      <c r="E7" t="inlineStr">
        <is>
          <t>... at 85</t>
        </is>
      </c>
      <c r="G7" s="7">
        <f>IFERROR(INDEX($J$81:$J$123,MATCH(household!$B$6+85,$A$81:$A$123,0)),"")</f>
        <v/>
      </c>
    </row>
    <row r="8">
      <c r="A8">
        <f>household!$B$8&amp;"'s pay per year while working"</f>
        <v/>
      </c>
      <c r="B8" s="8" t="n">
        <v>112000</v>
      </c>
      <c r="C8" t="inlineStr"/>
      <c r="E8" t="inlineStr">
        <is>
          <t>... at 90</t>
        </is>
      </c>
      <c r="G8" s="7">
        <f>IFERROR(INDEX($J$81:$J$123,MATCH(household!$B$6+90,$A$81:$A$123,0)),"")</f>
        <v/>
      </c>
    </row>
    <row r="9">
      <c r="A9">
        <f>household!$B$5&amp;"'s RRSP / pension contributions"</f>
        <v/>
      </c>
      <c r="B9" s="8" t="n">
        <v>16000</v>
      </c>
      <c r="C9" t="inlineStr">
        <is>
          <t>While working</t>
        </is>
      </c>
      <c r="E9" t="inlineStr">
        <is>
          <t>... at 95</t>
        </is>
      </c>
      <c r="G9" s="7">
        <f>IFERROR(INDEX($J$81:$J$123,MATCH(household!$B$6+95,$A$81:$A$123,0)),"")</f>
        <v/>
      </c>
    </row>
    <row r="10">
      <c r="A10">
        <f>household!$B$8&amp;"'s RRSP / pension contributions"</f>
        <v/>
      </c>
      <c r="B10" s="8" t="n">
        <v>11000</v>
      </c>
      <c r="C10" t="inlineStr"/>
      <c r="E10">
        <f>"Investments when "&amp;household!$B$5&amp;" is 90"</f>
        <v/>
      </c>
      <c r="G10" s="7">
        <f>IFERROR(MAX(0,INDEX($I$81:$I$123,MATCH(household!$B$6+90,$A$81:$A$123,0))),"")</f>
        <v/>
      </c>
    </row>
    <row r="11">
      <c r="A11">
        <f>"Employer match / pension contributions for "&amp;household!$B$5</f>
        <v/>
      </c>
      <c r="B11" s="8" t="n">
        <v>8000</v>
      </c>
      <c r="C11" t="inlineStr"/>
      <c r="E11" t="inlineStr">
        <is>
          <t>First year investments can't cover costs</t>
        </is>
      </c>
      <c r="G11" s="9">
        <f>IF(COUNTIF($K$81:$K$123,"&gt;1")=0,"never",SUMPRODUCT(MIN($A$81:$A$123+($K$81:$K$123&lt;=1)*10000)))</f>
        <v/>
      </c>
    </row>
    <row r="12">
      <c r="A12">
        <f>"Employer match / pension contributions for "&amp;household!$B$8</f>
        <v/>
      </c>
      <c r="B12" s="8" t="n">
        <v>5500</v>
      </c>
      <c r="C12" t="inlineStr"/>
      <c r="E12" t="inlineStr">
        <is>
          <t>First year's living costs</t>
        </is>
      </c>
      <c r="G12" s="7">
        <f>INDEX($D$81:$D$123,1)</f>
        <v/>
      </c>
    </row>
    <row r="13">
      <c r="A13" t="inlineStr">
        <is>
          <t>Income tax withheld from pay</t>
        </is>
      </c>
      <c r="B13" s="10" t="n">
        <v>0.27</v>
      </c>
      <c r="C13" t="inlineStr">
        <is>
          <t>Share of taxable pay; the difference is settled next April</t>
        </is>
      </c>
      <c r="E13" t="inlineStr">
        <is>
          <t>First year's withdrawal rate</t>
        </is>
      </c>
      <c r="G13" s="11">
        <f>INDEX($H$81:$H$123,1)</f>
        <v/>
      </c>
    </row>
    <row r="14">
      <c r="A14" t="inlineStr">
        <is>
          <t>Tax owed for last year, paid in April of the first year</t>
        </is>
      </c>
      <c r="B14" s="8" t="n">
        <v>0</v>
      </c>
      <c r="C14" t="inlineStr">
        <is>
          <t>Negative = a refund</t>
        </is>
      </c>
      <c r="E14" t="inlineStr">
        <is>
          <t>Lifetime income tax (today's $)</t>
        </is>
      </c>
      <c r="G14" s="7">
        <f>SUMPRODUCT($EC$81:$EC$123/$O$81:$O$123)</f>
        <v/>
      </c>
    </row>
    <row r="16">
      <c r="A16" s="4" t="inlineStr">
        <is>
          <t>ECONOMY</t>
        </is>
      </c>
      <c r="B16" s="5" t="n"/>
      <c r="C16" s="5" t="n"/>
    </row>
    <row r="17">
      <c r="A17" t="inlineStr">
        <is>
          <t>Inflation</t>
        </is>
      </c>
      <c r="B17" s="10" t="n">
        <v>0.025</v>
      </c>
      <c r="C17" t="inlineStr">
        <is>
          <t>Living costs, pay, pensions, tax brackets</t>
        </is>
      </c>
    </row>
    <row r="18">
      <c r="A18" t="inlineStr">
        <is>
          <t>Investment return (per year, before inflation)</t>
        </is>
      </c>
      <c r="B18" s="10" t="n">
        <v>0.05</v>
      </c>
      <c r="C18" t="inlineStr">
        <is>
          <t>Override any year in the yellow 'Return override' column below</t>
        </is>
      </c>
    </row>
    <row r="19">
      <c r="A19" t="inlineStr">
        <is>
          <t>Dividend yield on non-registered accounts</t>
        </is>
      </c>
      <c r="B19" s="10" t="n">
        <v>0.025</v>
      </c>
      <c r="C19" t="inlineStr">
        <is>
          <t>Paid out as cash each year</t>
        </is>
      </c>
    </row>
    <row r="20">
      <c r="A20" t="inlineStr">
        <is>
          <t>Share of those dividends that are eligible Canadian dividends</t>
        </is>
      </c>
      <c r="B20" s="10" t="n">
        <v>0.5</v>
      </c>
      <c r="C20" t="inlineStr">
        <is>
          <t>The rest (foreign, interest) is taxed as ordinary income</t>
        </is>
      </c>
    </row>
    <row r="21">
      <c r="A21" t="inlineStr">
        <is>
          <t>Healthcare cost growth</t>
        </is>
      </c>
      <c r="B21" s="10">
        <f>healthcare!$B$5</f>
        <v/>
      </c>
      <c r="C21" t="inlineStr">
        <is>
          <t>From the healthcare tab</t>
        </is>
      </c>
    </row>
    <row r="22">
      <c r="A22" t="inlineStr">
        <is>
          <t>College cost growth</t>
        </is>
      </c>
      <c r="B22" s="10" t="n">
        <v>0.035</v>
      </c>
      <c r="C22" t="inlineStr"/>
    </row>
    <row r="23">
      <c r="A23" t="inlineStr">
        <is>
          <t>Long-term care cost growth</t>
        </is>
      </c>
      <c r="B23" s="10">
        <f>healthcare!$B$7</f>
        <v/>
      </c>
      <c r="C23" t="inlineStr">
        <is>
          <t>From the healthcare tab</t>
        </is>
      </c>
    </row>
    <row r="25">
      <c r="A25" s="4" t="inlineStr">
        <is>
          <t>CPP AND OAS</t>
        </is>
      </c>
      <c r="B25" s="5" t="n"/>
      <c r="C25" s="5" t="n"/>
    </row>
    <row r="26">
      <c r="A26">
        <f>household!$B$5&amp;" starts CPP at age"</f>
        <v/>
      </c>
      <c r="B26" s="6" t="n">
        <v>70</v>
      </c>
      <c r="C26" t="inlineStr">
        <is>
          <t>60-70: -0.6%/month before 65, +0.7%/month after</t>
        </is>
      </c>
    </row>
    <row r="27">
      <c r="A27">
        <f>household!$B$8&amp;" starts CPP at age"</f>
        <v/>
      </c>
      <c r="B27" s="6" t="n">
        <v>65</v>
      </c>
      <c r="C27" t="inlineStr"/>
    </row>
    <row r="28">
      <c r="A28">
        <f>household!$B$5&amp;" starts OAS at age"</f>
        <v/>
      </c>
      <c r="B28" s="6" t="n">
        <v>67</v>
      </c>
      <c r="C28" t="inlineStr">
        <is>
          <t>65-70: +0.6%/month deferred</t>
        </is>
      </c>
    </row>
    <row r="29">
      <c r="A29">
        <f>household!$B$8&amp;" starts OAS at age"</f>
        <v/>
      </c>
      <c r="B29" s="6" t="n">
        <v>65</v>
      </c>
      <c r="C29" t="inlineStr"/>
    </row>
    <row r="30">
      <c r="A30">
        <f>household!$B$5&amp;"'s CPP vs age 65"</f>
        <v/>
      </c>
      <c r="B30" s="12">
        <f>IF(ROUND(($B$26-65)*12,0)&gt;=0,1+0.007*MIN(ROUND(($B$26-65)*12,0),60),1+0.006*MAX(ROUND(($B$26-65)*12,0),-60))</f>
        <v/>
      </c>
      <c r="C30" t="inlineStr"/>
    </row>
    <row r="31">
      <c r="A31">
        <f>household!$B$8&amp;"'s CPP vs age 65"</f>
        <v/>
      </c>
      <c r="B31" s="12">
        <f>IF(ROUND(($B$27-65)*12,0)&gt;=0,1+0.007*MIN(ROUND(($B$27-65)*12,0),60),1+0.006*MAX(ROUND(($B$27-65)*12,0),-60))</f>
        <v/>
      </c>
      <c r="C31" t="inlineStr"/>
    </row>
    <row r="32">
      <c r="A32">
        <f>household!$B$5&amp;"'s OAS deferral increase"</f>
        <v/>
      </c>
      <c r="B32" s="12">
        <f>1+0.006*MIN(60,MAX(0,ROUND(($B$28-65)*12,0)))</f>
        <v/>
      </c>
      <c r="C32" t="inlineStr"/>
    </row>
    <row r="33">
      <c r="A33">
        <f>household!$B$8&amp;"'s OAS deferral increase"</f>
        <v/>
      </c>
      <c r="B33" s="12">
        <f>1+0.006*MIN(60,MAX(0,ROUND(($B$29-65)*12,0)))</f>
        <v/>
      </c>
      <c r="C33" t="inlineStr"/>
    </row>
    <row r="35">
      <c r="A35" s="4" t="inlineStr">
        <is>
          <t>WORKPLACE PENSIONS</t>
        </is>
      </c>
      <c r="B35" s="5" t="n"/>
      <c r="C35" s="5" t="n"/>
    </row>
    <row r="36">
      <c r="A36">
        <f>household!$B$5&amp;"'s defined-benefit pension per year (today's $)"</f>
        <v/>
      </c>
      <c r="B36" s="8" t="n">
        <v>0</v>
      </c>
      <c r="C36" t="inlineStr">
        <is>
          <t>0 = none. Your pension statement's estimate</t>
        </is>
      </c>
    </row>
    <row r="37">
      <c r="A37" t="inlineStr">
        <is>
          <t>... starts at age</t>
        </is>
      </c>
      <c r="B37" s="6" t="n">
        <v>65</v>
      </c>
      <c r="C37" t="inlineStr"/>
    </row>
    <row r="38">
      <c r="A38">
        <f>household!$B$8&amp;"'s defined-benefit pension per year (today's $)"</f>
        <v/>
      </c>
      <c r="B38" s="8" t="n">
        <v>30000</v>
      </c>
      <c r="C38" t="inlineStr"/>
    </row>
    <row r="39">
      <c r="A39" t="inlineStr">
        <is>
          <t>... starts at age</t>
        </is>
      </c>
      <c r="B39" s="6" t="n">
        <v>65</v>
      </c>
      <c r="C39" t="inlineStr"/>
    </row>
    <row r="40">
      <c r="A40" t="inlineStr">
        <is>
          <t>Pension increases, as a share of inflation</t>
        </is>
      </c>
      <c r="B40" s="13" t="n">
        <v>0.8</v>
      </c>
      <c r="C40" t="inlineStr">
        <is>
          <t>0% = fixed dollar amount, 100% = fully indexed</t>
        </is>
      </c>
    </row>
    <row r="41">
      <c r="A41" t="inlineStr">
        <is>
          <t>Share that continues to the survivor</t>
        </is>
      </c>
      <c r="B41" s="13" t="n">
        <v>0.6</v>
      </c>
      <c r="C41" t="inlineStr">
        <is>
          <t>Joint-and-survivor option; used in the Monte Carlo's lifetime runs</t>
        </is>
      </c>
    </row>
    <row r="43">
      <c r="A43" s="4" t="inlineStr">
        <is>
          <t>HEALTHCARE AND LONG-TERM CARE</t>
        </is>
      </c>
      <c r="B43" s="5" t="n"/>
      <c r="C43" s="5" t="n"/>
    </row>
    <row r="44">
      <c r="A44">
        <f>household!$B$5&amp;" needs long-term care from age"</f>
        <v/>
      </c>
      <c r="B44" s="6" t="n">
        <v>85</v>
      </c>
      <c r="C44" t="inlineStr">
        <is>
          <t>Paid from savings</t>
        </is>
      </c>
    </row>
    <row r="45">
      <c r="A45" t="inlineStr">
        <is>
          <t>... for this many years</t>
        </is>
      </c>
      <c r="B45" s="6" t="n">
        <v>2</v>
      </c>
      <c r="C45" t="inlineStr">
        <is>
          <t>Averages: men ~2 years, women ~3.5</t>
        </is>
      </c>
    </row>
    <row r="46">
      <c r="A46">
        <f>household!$B$8&amp;" needs long-term care from age"</f>
        <v/>
      </c>
      <c r="B46" s="6" t="n">
        <v>89</v>
      </c>
      <c r="C46" t="inlineStr">
        <is>
          <t>Overlapping years double the cost</t>
        </is>
      </c>
    </row>
    <row r="47">
      <c r="A47" t="inlineStr">
        <is>
          <t>... for this many years</t>
        </is>
      </c>
      <c r="B47" s="6" t="n">
        <v>3</v>
      </c>
      <c r="C47" t="inlineStr"/>
    </row>
    <row r="48">
      <c r="A48" t="inlineStr">
        <is>
          <t>Long-term care cost per person-year (today's $)</t>
        </is>
      </c>
      <c r="B48" s="8">
        <f>healthcare!$B$6</f>
        <v/>
      </c>
      <c r="C48" t="inlineStr">
        <is>
          <t>From the healthcare tab</t>
        </is>
      </c>
    </row>
    <row r="50">
      <c r="A50" s="4" t="inlineStr">
        <is>
          <t>TAX MOVES</t>
        </is>
      </c>
      <c r="B50" s="5" t="n"/>
      <c r="C50" s="5" t="n"/>
    </row>
    <row r="51">
      <c r="A51" t="inlineStr">
        <is>
          <t>Extra RRSP/RRIF withdrawal per year (today's $)</t>
        </is>
      </c>
      <c r="B51" s="8" t="n">
        <v>40000</v>
      </c>
      <c r="C51" t="inlineStr">
        <is>
          <t>An 'RRSP meltdown': taxed now, the cash fills the TFSA or pays the bills</t>
        </is>
      </c>
    </row>
    <row r="52">
      <c r="A52" t="inlineStr">
        <is>
          <t>... from year</t>
        </is>
      </c>
      <c r="B52" s="6" t="n">
        <v>2031</v>
      </c>
      <c r="C52" t="inlineStr">
        <is>
          <t>Blank = none</t>
        </is>
      </c>
    </row>
    <row r="53">
      <c r="A53" t="inlineStr">
        <is>
          <t>... through year</t>
        </is>
      </c>
      <c r="B53" s="6" t="n">
        <v>2036</v>
      </c>
      <c r="C53" t="inlineStr"/>
    </row>
    <row r="55">
      <c r="A55" s="4" t="inlineStr">
        <is>
          <t>STARTING POINT (1 January of the first year) - from the assets tab; type over to freeze</t>
        </is>
      </c>
      <c r="B55" s="5" t="n"/>
      <c r="C55" s="5" t="n"/>
    </row>
    <row r="56">
      <c r="A56" t="inlineStr">
        <is>
          <t>Non-registered investments + cash</t>
        </is>
      </c>
      <c r="B56" s="14">
        <f>SUMIF(assets!$B$2:$B$150,"non_registered",assets!$C$2:$C$150)</f>
        <v/>
      </c>
      <c r="C56" t="inlineStr"/>
    </row>
    <row r="57">
      <c r="A57" t="inlineStr">
        <is>
          <t>... their adjusted cost base</t>
        </is>
      </c>
      <c r="B57" s="14">
        <f>assets!$J$2</f>
        <v/>
      </c>
      <c r="C57" t="inlineStr"/>
    </row>
    <row r="58">
      <c r="A58">
        <f>household!$B$5&amp;"'s RRSP/RRIF"</f>
        <v/>
      </c>
      <c r="B58" s="14">
        <f>SUMIF(assets!$B$2:$B$150,"rrsp_p1",assets!$C$2:$C$150)</f>
        <v/>
      </c>
      <c r="C58" t="inlineStr"/>
    </row>
    <row r="59">
      <c r="A59">
        <f>household!$B$8&amp;"'s RRSP/RRIF"</f>
        <v/>
      </c>
      <c r="B59" s="14">
        <f>SUMIF(assets!$B$2:$B$150,"rrsp_p2",assets!$C$2:$C$150)</f>
        <v/>
      </c>
      <c r="C59" t="inlineStr"/>
    </row>
    <row r="60">
      <c r="A60" t="inlineStr">
        <is>
          <t>TFSAs</t>
        </is>
      </c>
      <c r="B60" s="14">
        <f>SUMIF(assets!$B$2:$B$150,"tfsa",assets!$C$2:$C$150)</f>
        <v/>
      </c>
      <c r="C60" t="inlineStr"/>
    </row>
    <row r="61">
      <c r="A61" t="inlineStr">
        <is>
          <t>RESPs</t>
        </is>
      </c>
      <c r="B61" s="14">
        <f>SUMIF(assets!$B$2:$B$150,"resp",assets!$C$2:$C$150)</f>
        <v/>
      </c>
      <c r="C61" t="inlineStr"/>
    </row>
    <row r="63" ht="30" customHeight="1">
      <c r="A63" s="15" t="inlineStr">
        <is>
          <t>Property</t>
        </is>
      </c>
      <c r="B63" s="15" t="inlineStr">
        <is>
          <t>Sell in year</t>
        </is>
      </c>
      <c r="C63" s="15" t="inlineStr">
        <is>
          <t>Change use from year</t>
        </is>
      </c>
      <c r="D63" s="15" t="inlineStr">
        <is>
          <t>New rent / yr (today's $)</t>
        </is>
      </c>
      <c r="E63" s="15" t="inlineStr">
        <is>
          <t>New costs / yr (today's $)</t>
        </is>
      </c>
      <c r="F63" s="15" t="inlineStr">
        <is>
          <t>Sale price</t>
        </is>
      </c>
      <c r="G63" s="15" t="inlineStr">
        <is>
          <t>Net proceeds</t>
        </is>
      </c>
      <c r="H63" s="15" t="inlineStr">
        <is>
          <t>Taxable gain</t>
        </is>
      </c>
      <c r="I63" s="15" t="inlineStr">
        <is>
          <t>CCA recapture</t>
        </is>
      </c>
    </row>
    <row r="64">
      <c r="A64">
        <f>IF(properties!$A$2="","",properties!$A$2)</f>
        <v/>
      </c>
      <c r="B64" s="6" t="n"/>
      <c r="C64" s="16" t="n"/>
      <c r="D64" s="17" t="n"/>
      <c r="E64" s="8" t="n"/>
      <c r="F64" s="14">
        <f>IF($B64="",0,properties!$C$2*(1+properties!$D$2)^($B64-household!$B$4+1))</f>
        <v/>
      </c>
      <c r="G64" s="14">
        <f>IF($B64="",0,F64*(1-properties!$E$2)-IFERROR(INDEX($AO$81:$AO$123,MATCH($B64,$A$81:$A$123,0)),0))</f>
        <v/>
      </c>
      <c r="H64" s="14" t="n">
        <v>0</v>
      </c>
      <c r="I64" s="14" t="n">
        <v>0</v>
      </c>
    </row>
    <row r="65">
      <c r="A65">
        <f>IF(properties!$A$3="","",properties!$A$3)</f>
        <v/>
      </c>
      <c r="B65" s="6" t="n">
        <v>2040</v>
      </c>
      <c r="C65" s="6" t="n"/>
      <c r="D65" s="8" t="n"/>
      <c r="E65" s="8" t="n"/>
      <c r="F65" s="14">
        <f>IF($B65="",0,properties!$C$3*(1+properties!$D$3)^($B65-household!$B$4+1))</f>
        <v/>
      </c>
      <c r="G65" s="14">
        <f>IF($B65="",0,F65*(1-properties!$E$3))</f>
        <v/>
      </c>
      <c r="H65" s="14">
        <f>IF($B65="",0,MAX(0,G65-properties!$F$3))</f>
        <v/>
      </c>
      <c r="I65" s="14">
        <f>IF($B65="",0,MIN((properties!$P$3+properties!$N$3*MAX(0,MIN($B65,properties!$O$3)-household!$B$4+1)),MAX(0,G65-(properties!$F$3-(properties!$P$3+properties!$N$3*MAX(0,MIN($B65,properties!$O$3)-household!$B$4+1))))))</f>
        <v/>
      </c>
    </row>
    <row r="66">
      <c r="A66">
        <f>IF(properties!$A$4="","",properties!$A$4)</f>
        <v/>
      </c>
      <c r="B66" s="6" t="n"/>
      <c r="C66" s="6" t="n"/>
      <c r="D66" s="8" t="n"/>
      <c r="E66" s="8" t="n"/>
      <c r="F66" s="14">
        <f>IF($B66="",0,properties!$C$4*(1+properties!$D$4)^($B66-household!$B$4+1))</f>
        <v/>
      </c>
      <c r="G66" s="14">
        <f>IF($B66="",0,F66*(1-properties!$E$4))</f>
        <v/>
      </c>
      <c r="H66" s="14">
        <f>IF($B66="",0,MAX(0,G66-properties!$F$4))</f>
        <v/>
      </c>
      <c r="I66" s="14">
        <f>IF($B66="",0,MIN((properties!$P$4+properties!$N$4*MAX(0,MIN($B66,properties!$O$4)-household!$B$4+1)),MAX(0,G66-(properties!$F$4-(properties!$P$4+properties!$N$4*MAX(0,MIN($B66,properties!$O$4)-household!$B$4+1))))))</f>
        <v/>
      </c>
    </row>
    <row r="67">
      <c r="A67">
        <f>IF(properties!$A$5="","",properties!$A$5)</f>
        <v/>
      </c>
      <c r="B67" s="6" t="n"/>
      <c r="C67" s="6" t="n"/>
      <c r="D67" s="8" t="n"/>
      <c r="E67" s="8" t="n"/>
      <c r="F67" s="14">
        <f>IF($B67="",0,properties!$C$5*(1+properties!$D$5)^($B67-household!$B$4+1))</f>
        <v/>
      </c>
      <c r="G67" s="14">
        <f>IF($B67="",0,F67*(1-properties!$E$5))</f>
        <v/>
      </c>
      <c r="H67" s="14">
        <f>IF($B67="",0,MAX(0,G67-properties!$F$5))</f>
        <v/>
      </c>
      <c r="I67" s="14">
        <f>IF($B67="",0,MIN((properties!$P$5+properties!$N$5*MAX(0,MIN($B67,properties!$O$5)-household!$B$4+1)),MAX(0,G67-(properties!$F$5-(properties!$P$5+properties!$N$5*MAX(0,MIN($B67,properties!$O$5)-household!$B$4+1))))))</f>
        <v/>
      </c>
    </row>
    <row r="68">
      <c r="A68">
        <f>IF(properties!$A$6="","",properties!$A$6)</f>
        <v/>
      </c>
      <c r="B68" s="6" t="n"/>
      <c r="C68" s="6" t="n"/>
      <c r="D68" s="8" t="n"/>
      <c r="E68" s="8" t="n"/>
      <c r="F68" s="14">
        <f>IF($B68="",0,properties!$C$6*(1+properties!$D$6)^($B68-household!$B$4+1))</f>
        <v/>
      </c>
      <c r="G68" s="14">
        <f>IF($B68="",0,F68*(1-properties!$E$6))</f>
        <v/>
      </c>
      <c r="H68" s="14">
        <f>IF($B68="",0,MAX(0,G68-properties!$F$6))</f>
        <v/>
      </c>
      <c r="I68" s="14">
        <f>IF($B68="",0,MIN((properties!$P$6+properties!$N$6*MAX(0,MIN($B68,properties!$O$6)-household!$B$4+1)),MAX(0,G68-(properties!$F$6-(properties!$P$6+properties!$N$6*MAX(0,MIN($B68,properties!$O$6)-household!$B$4+1))))))</f>
        <v/>
      </c>
    </row>
    <row r="69" ht="44" customHeight="1">
      <c r="A69" s="3" t="inlineStr">
        <is>
          <t>Home: 'New costs' = what housing costs per year after you sell it (rent, or a new place's carrying costs; if you buy one, its price goes in one-off Expenses below and its value isn't counted in net worth). Other properties: 'Change use' switches to the new rent/costs from that year (e.g. move into the cottage: rent 0, costs = its upkeep). Sale price is a formula; type over it to use your own estimate.</t>
        </is>
      </c>
    </row>
    <row r="71">
      <c r="A71" s="18" t="inlineStr">
        <is>
          <t>One-off money in or out</t>
        </is>
      </c>
      <c r="B71" s="18" t="inlineStr">
        <is>
          <t>Year</t>
        </is>
      </c>
      <c r="C71" s="18" t="inlineStr">
        <is>
          <t>Amount (today's $)</t>
        </is>
      </c>
      <c r="D71" s="18" t="inlineStr">
        <is>
          <t>Type</t>
        </is>
      </c>
    </row>
    <row r="72">
      <c r="A72" s="19" t="inlineStr">
        <is>
          <t>Severance (one year's pay)</t>
        </is>
      </c>
      <c r="B72" s="6" t="n">
        <v>2030</v>
      </c>
      <c r="C72" s="8" t="n">
        <v>80000</v>
      </c>
      <c r="D72" s="19" t="inlineStr">
        <is>
          <t>Wages: person 1</t>
        </is>
      </c>
      <c r="F72" s="20" t="inlineStr">
        <is>
          <t>Severance, an inheritance, a wedding, a new car, buying a smaller home. Wages get payroll tax; 'Other taxable income' is taxed as ordinary income; 'Tax-free money in' isn't taxed; 'Expense' is spent that year.</t>
        </is>
      </c>
    </row>
    <row r="73">
      <c r="A73" s="19" t="n"/>
      <c r="B73" s="6" t="n"/>
      <c r="C73" s="8" t="n"/>
      <c r="D73" s="19" t="n"/>
    </row>
    <row r="74">
      <c r="A74" s="19" t="n"/>
      <c r="B74" s="6" t="n"/>
      <c r="C74" s="8" t="n"/>
      <c r="D74" s="19" t="n"/>
    </row>
    <row r="75">
      <c r="A75" s="19" t="n"/>
      <c r="B75" s="6" t="n"/>
      <c r="C75" s="8" t="n"/>
      <c r="D75" s="19" t="n"/>
    </row>
    <row r="76">
      <c r="A76" s="19" t="n"/>
      <c r="B76" s="6" t="n"/>
      <c r="C76" s="8" t="n"/>
      <c r="D76" s="19" t="n"/>
    </row>
    <row r="77">
      <c r="A77" s="19" t="n"/>
      <c r="B77" s="6" t="n"/>
      <c r="C77" s="8" t="n"/>
      <c r="D77" s="19" t="n"/>
    </row>
    <row r="79">
      <c r="A79" s="4" t="inlineStr">
        <is>
          <t>SUMMARY</t>
        </is>
      </c>
      <c r="L79" s="4" t="inlineStr">
        <is>
          <t>ASSUMPTIONS BY YEAR</t>
        </is>
      </c>
      <c r="U79" s="4" t="inlineStr">
        <is>
          <t>WORK</t>
        </is>
      </c>
      <c r="AN79" s="4" t="inlineStr">
        <is>
          <t>HOUSING</t>
        </is>
      </c>
      <c r="AV79" s="4" t="inlineStr">
        <is>
          <t>LIVING</t>
        </is>
      </c>
      <c r="BD79" s="4" t="inlineStr">
        <is>
          <t>HEALTHCARE</t>
        </is>
      </c>
      <c r="BK79" s="4" t="inlineStr">
        <is>
          <t>PROPERTIES</t>
        </is>
      </c>
      <c r="BS79" s="4" t="inlineStr">
        <is>
          <t>CPP AND OAS</t>
        </is>
      </c>
      <c r="BW79" s="4" t="inlineStr">
        <is>
          <t>PENSIONS</t>
        </is>
      </c>
      <c r="BY79" s="4" t="inlineStr">
        <is>
          <t>INVESTMENTS</t>
        </is>
      </c>
      <c r="DE79" s="4" t="inlineStr">
        <is>
          <t>INCOME TAX</t>
        </is>
      </c>
      <c r="ED79" s="4" t="inlineStr">
        <is>
          <t>TOTALS</t>
        </is>
      </c>
    </row>
    <row r="80" ht="58" customHeight="1">
      <c r="A80" s="15" t="inlineStr">
        <is>
          <t>Year</t>
        </is>
      </c>
      <c r="B80" s="15">
        <f>household!$B$5&amp;"'s age"</f>
        <v/>
      </c>
      <c r="C80" s="15">
        <f>household!$B$8&amp;"'s age"</f>
        <v/>
      </c>
      <c r="D80" s="15" t="inlineStr">
        <is>
          <t>Living costs (all spending except income tax)</t>
        </is>
      </c>
      <c r="E80" s="15" t="inlineStr">
        <is>
          <t>Income + payroll tax paid this year</t>
        </is>
      </c>
      <c r="F80" s="15" t="inlineStr">
        <is>
          <t>CPP + OAS</t>
        </is>
      </c>
      <c r="G80" s="15" t="inlineStr">
        <is>
          <t>Taken out of investments (net)</t>
        </is>
      </c>
      <c r="H80" s="15" t="inlineStr">
        <is>
          <t>Withdrawal rate</t>
        </is>
      </c>
      <c r="I80" s="15" t="inlineStr">
        <is>
          <t>Investments at year end (today's $)</t>
        </is>
      </c>
      <c r="J80" s="15" t="inlineStr">
        <is>
          <t>Net worth at year end (today's $)</t>
        </is>
      </c>
      <c r="K80" s="15" t="inlineStr">
        <is>
          <t>Shortfall (costs your accounts couldn't cover)</t>
        </is>
      </c>
      <c r="L80" s="15" t="inlineStr">
        <is>
          <t>Return override (blank = default)</t>
        </is>
      </c>
      <c r="M80" s="15" t="inlineStr">
        <is>
          <t>Return used</t>
        </is>
      </c>
      <c r="N80" s="15" t="inlineStr">
        <is>
          <t>Household spending multiplier (blank = 100%)</t>
        </is>
      </c>
      <c r="O80" s="15" t="inlineStr">
        <is>
          <t>Price level vs today</t>
        </is>
      </c>
      <c r="P80" s="15" t="inlineStr">
        <is>
          <t>Tax-law index</t>
        </is>
      </c>
      <c r="Q80" s="15" t="inlineStr">
        <is>
          <t>Provincial index</t>
        </is>
      </c>
      <c r="R80" s="15" t="inlineStr">
        <is>
          <t>Healthcare price level</t>
        </is>
      </c>
      <c r="S80" s="15" t="inlineStr">
        <is>
          <t>College price level</t>
        </is>
      </c>
      <c r="T80" s="15" t="inlineStr">
        <is>
          <t>Long-term care price level</t>
        </is>
      </c>
      <c r="U80" s="15">
        <f>household!$B$5&amp;" working?"</f>
        <v/>
      </c>
      <c r="V80" s="15">
        <f>household!$B$8&amp;" working?"</f>
        <v/>
      </c>
      <c r="W80" s="15" t="inlineStr">
        <is>
          <t>Either working?</t>
        </is>
      </c>
      <c r="X80" s="15">
        <f>household!$B$5&amp;"'s pay"</f>
        <v/>
      </c>
      <c r="Y80" s="15">
        <f>household!$B$8&amp;"'s pay"</f>
        <v/>
      </c>
      <c r="Z80" s="15">
        <f>household!$B$5&amp;"'s retirement contributions"</f>
        <v/>
      </c>
      <c r="AA80" s="15">
        <f>household!$B$8&amp;"'s retirement contributions"</f>
        <v/>
      </c>
      <c r="AB80" s="15">
        <f>"Employer contributions for "&amp;household!$B$5</f>
        <v/>
      </c>
      <c r="AC80" s="15">
        <f>"Employer contributions for "&amp;household!$B$8</f>
        <v/>
      </c>
      <c r="AD80" s="15" t="inlineStr">
        <is>
          <t>Total pay</t>
        </is>
      </c>
      <c r="AE80" s="15" t="inlineStr">
        <is>
          <t>Taxable pay</t>
        </is>
      </c>
      <c r="AF80" s="15">
        <f>household!$B$5&amp;"'s CPP + EI contributions"</f>
        <v/>
      </c>
      <c r="AG80" s="15">
        <f>household!$B$8&amp;"'s CPP + EI contributions"</f>
        <v/>
      </c>
      <c r="AH80" s="15" t="inlineStr">
        <is>
          <t>CPP + EI contributions</t>
        </is>
      </c>
      <c r="AI80" s="15" t="inlineStr">
        <is>
          <t>Income tax withheld from pay</t>
        </is>
      </c>
      <c r="AJ80" s="15" t="inlineStr">
        <is>
          <t>Take-home pay</t>
        </is>
      </c>
      <c r="AK80" s="15" t="inlineStr">
        <is>
          <t>One-off: other taxable income</t>
        </is>
      </c>
      <c r="AL80" s="15" t="inlineStr">
        <is>
          <t>One-off: tax-free money in</t>
        </is>
      </c>
      <c r="AM80" s="15" t="inlineStr">
        <is>
          <t>One-off: expenses</t>
        </is>
      </c>
      <c r="AN80" s="15" t="inlineStr">
        <is>
          <t>Own your home?</t>
        </is>
      </c>
      <c r="AO80" s="15" t="inlineStr">
        <is>
          <t>Mortgage balance, start</t>
        </is>
      </c>
      <c r="AP80" s="15" t="inlineStr">
        <is>
          <t>Mortgage interest</t>
        </is>
      </c>
      <c r="AQ80" s="15" t="inlineStr">
        <is>
          <t>Mortgage payments</t>
        </is>
      </c>
      <c r="AR80" s="15" t="inlineStr">
        <is>
          <t>Mortgage balance, end</t>
        </is>
      </c>
      <c r="AS80" s="15" t="inlineStr">
        <is>
          <t>Home carrying costs</t>
        </is>
      </c>
      <c r="AT80" s="15" t="inlineStr">
        <is>
          <t>Housing after selling your home</t>
        </is>
      </c>
      <c r="AU80" s="15" t="inlineStr">
        <is>
          <t>Housing total</t>
        </is>
      </c>
      <c r="AV80" s="15" t="inlineStr">
        <is>
          <t>Household living (budget tab)</t>
        </is>
      </c>
      <c r="AW80" s="15" t="inlineStr">
        <is>
          <t>Renovations, cars, other (other_budget tab)</t>
        </is>
      </c>
      <c r="AX80" s="15" t="inlineStr">
        <is>
          <t>Kids: costs you pay</t>
        </is>
      </c>
      <c r="AY80" s="15" t="inlineStr">
        <is>
          <t>Kids: costs paid from college funds</t>
        </is>
      </c>
      <c r="AZ80" s="15" t="inlineStr">
        <is>
          <t>College funds, start</t>
        </is>
      </c>
      <c r="BA80" s="15" t="inlineStr">
        <is>
          <t>Paid by college funds</t>
        </is>
      </c>
      <c r="BB80" s="15" t="inlineStr">
        <is>
          <t>College costs paid by you</t>
        </is>
      </c>
      <c r="BC80" s="15" t="inlineStr">
        <is>
          <t>College funds, end</t>
        </is>
      </c>
      <c r="BD80" s="15" t="inlineStr">
        <is>
          <t>Employer health plan (while working)</t>
        </is>
      </c>
      <c r="BE80" s="15" t="inlineStr">
        <is>
          <t>Adults on a retiree health plan</t>
        </is>
      </c>
      <c r="BF80" s="15" t="inlineStr">
        <is>
          <t>Extended health + dental premiums</t>
        </is>
      </c>
      <c r="BG80" s="15" t="inlineStr">
        <is>
          <t>Out-of-pocket (drugs, dental, vision)</t>
        </is>
      </c>
      <c r="BH80" s="15" t="inlineStr">
        <is>
          <t>People in long-term care</t>
        </is>
      </c>
      <c r="BI80" s="15" t="inlineStr">
        <is>
          <t>Long-term care</t>
        </is>
      </c>
      <c r="BJ80" s="15" t="inlineStr">
        <is>
          <t>Healthcare total</t>
        </is>
      </c>
      <c r="BK80" s="15" t="inlineStr">
        <is>
          <t>Property income after costs</t>
        </is>
      </c>
      <c r="BL80" s="15" t="inlineStr">
        <is>
          <t>Capital cost allowance</t>
        </is>
      </c>
      <c r="BM80" s="15" t="inlineStr">
        <is>
          <t>Taxable property income</t>
        </is>
      </c>
      <c r="BN80" s="15" t="inlineStr">
        <is>
          <t>Property sale proceeds</t>
        </is>
      </c>
      <c r="BO80" s="15" t="inlineStr">
        <is>
          <t>Capital gains on sales</t>
        </is>
      </c>
      <c r="BP80" s="15" t="inlineStr">
        <is>
          <t>CCA recapture</t>
        </is>
      </c>
      <c r="BQ80" s="15" t="inlineStr">
        <is>
          <t>Home value, end</t>
        </is>
      </c>
      <c r="BR80" s="15" t="inlineStr">
        <is>
          <t>Other property values, end</t>
        </is>
      </c>
      <c r="BS80" s="15">
        <f>household!$B$5&amp;"'s CPP"</f>
        <v/>
      </c>
      <c r="BT80" s="15">
        <f>household!$B$8&amp;"'s CPP"</f>
        <v/>
      </c>
      <c r="BU80" s="15">
        <f>household!$B$5&amp;"'s OAS"</f>
        <v/>
      </c>
      <c r="BV80" s="15">
        <f>household!$B$8&amp;"'s OAS"</f>
        <v/>
      </c>
      <c r="BW80" s="15">
        <f>household!$B$5&amp;"'s workplace pension"</f>
        <v/>
      </c>
      <c r="BX80" s="15">
        <f>household!$B$8&amp;"'s workplace pension"</f>
        <v/>
      </c>
      <c r="BY80" s="15" t="inlineStr">
        <is>
          <t>Non-registered, start</t>
        </is>
      </c>
      <c r="BZ80" s="15" t="inlineStr">
        <is>
          <t>Adjusted cost base, start</t>
        </is>
      </c>
      <c r="CA80" s="15" t="inlineStr">
        <is>
          <t>Dividends</t>
        </is>
      </c>
      <c r="CB80" s="15">
        <f>household!$B$5&amp;" RRSP/RRIF, start"</f>
        <v/>
      </c>
      <c r="CC80" s="15">
        <f>household!$B$8&amp;" RRSP/RRIF, start"</f>
        <v/>
      </c>
      <c r="CD80" s="15">
        <f>household!$B$5&amp;"'s RRIF minimum"</f>
        <v/>
      </c>
      <c r="CE80" s="15">
        <f>household!$B$8&amp;"'s RRIF minimum"</f>
        <v/>
      </c>
      <c r="CF80" s="15" t="inlineStr">
        <is>
          <t>TFSA, start</t>
        </is>
      </c>
      <c r="CG80" s="15" t="inlineStr">
        <is>
          <t>Extra RRSP/RRIF withdrawal planned</t>
        </is>
      </c>
      <c r="CH80" s="15">
        <f>household!$B$5&amp;" RRSP/RRIF available"</f>
        <v/>
      </c>
      <c r="CI80" s="15">
        <f>household!$B$8&amp;" RRSP/RRIF available"</f>
        <v/>
      </c>
      <c r="CJ80" s="15" t="inlineStr">
        <is>
          <t>Extra RRSP/RRIF withdrawal</t>
        </is>
      </c>
      <c r="CK80" s="15">
        <f>"... from "&amp;household!$B$5&amp;"'s"</f>
        <v/>
      </c>
      <c r="CL80" s="15">
        <f>"... from "&amp;household!$B$8&amp;"'s"</f>
        <v/>
      </c>
      <c r="CM80" s="15" t="inlineStr">
        <is>
          <t>TFSA room, start</t>
        </is>
      </c>
      <c r="CN80" s="15" t="inlineStr">
        <is>
          <t>Last year's income tax still owed</t>
        </is>
      </c>
      <c r="CO80" s="15" t="inlineStr">
        <is>
          <t>Cash coming in</t>
        </is>
      </c>
      <c r="CP80" s="15" t="inlineStr">
        <is>
          <t>Still needed (+) or surplus (-)</t>
        </is>
      </c>
      <c r="CQ80" s="15" t="inlineStr">
        <is>
          <t>Sold from non-registered</t>
        </is>
      </c>
      <c r="CR80" s="15" t="inlineStr">
        <is>
          <t>Withdrawn from RRSP/RRIF</t>
        </is>
      </c>
      <c r="CS80" s="15">
        <f>"... from "&amp;household!$B$5&amp;"'s"</f>
        <v/>
      </c>
      <c r="CT80" s="15">
        <f>"... from "&amp;household!$B$8&amp;"'s"</f>
        <v/>
      </c>
      <c r="CU80" s="15" t="inlineStr">
        <is>
          <t>Withdrawn from TFSA</t>
        </is>
      </c>
      <c r="CV80" s="15" t="inlineStr">
        <is>
          <t>Surplus reinvested</t>
        </is>
      </c>
      <c r="CW80" s="15" t="inlineStr">
        <is>
          <t>Surplus into TFSAs</t>
        </is>
      </c>
      <c r="CX80" s="15" t="inlineStr">
        <is>
          <t>Gain share of sales</t>
        </is>
      </c>
      <c r="CY80" s="15" t="inlineStr">
        <is>
          <t>Capital gains realized</t>
        </is>
      </c>
      <c r="CZ80" s="15" t="inlineStr">
        <is>
          <t>Non-registered, end</t>
        </is>
      </c>
      <c r="DA80" s="15" t="inlineStr">
        <is>
          <t>Adjusted cost base, end</t>
        </is>
      </c>
      <c r="DB80" s="15">
        <f>household!$B$5&amp;" RRSP/RRIF, end"</f>
        <v/>
      </c>
      <c r="DC80" s="15">
        <f>household!$B$8&amp;" RRSP/RRIF, end"</f>
        <v/>
      </c>
      <c r="DD80" s="15" t="inlineStr">
        <is>
          <t>TFSA, end</t>
        </is>
      </c>
      <c r="DE80" s="15">
        <f>household!$B$5&amp;"'s RRSP/RRIF income"</f>
        <v/>
      </c>
      <c r="DF80" s="15">
        <f>household!$B$5&amp;"'s grossed-up eligible dividends"</f>
        <v/>
      </c>
      <c r="DG80" s="15">
        <f>household!$B$5&amp;"'s net income before pension splitting"</f>
        <v/>
      </c>
      <c r="DH80" s="15">
        <f>household!$B$8&amp;"'s RRSP/RRIF income"</f>
        <v/>
      </c>
      <c r="DI80" s="15">
        <f>household!$B$8&amp;"'s grossed-up eligible dividends"</f>
        <v/>
      </c>
      <c r="DJ80" s="15">
        <f>household!$B$8&amp;"'s net income before pension splitting"</f>
        <v/>
      </c>
      <c r="DK80" s="15" t="inlineStr">
        <is>
          <t>Pension income moved to the lower-income spouse</t>
        </is>
      </c>
      <c r="DL80" s="15">
        <f>household!$B$5&amp;"'s net income"</f>
        <v/>
      </c>
      <c r="DM80" s="15">
        <f>household!$B$5&amp;"'s eligible pension income"</f>
        <v/>
      </c>
      <c r="DN80" s="15">
        <f>household!$B$5&amp;"'s OAS clawback"</f>
        <v/>
      </c>
      <c r="DO80" s="15">
        <f>household!$B$5&amp;"'s taxable income"</f>
        <v/>
      </c>
      <c r="DP80" s="15">
        <f>household!$B$8&amp;"'s net income"</f>
        <v/>
      </c>
      <c r="DQ80" s="15">
        <f>household!$B$8&amp;"'s eligible pension income"</f>
        <v/>
      </c>
      <c r="DR80" s="15">
        <f>household!$B$8&amp;"'s OAS clawback"</f>
        <v/>
      </c>
      <c r="DS80" s="15">
        <f>household!$B$8&amp;"'s taxable income"</f>
        <v/>
      </c>
      <c r="DT80" s="15" t="inlineStr">
        <is>
          <t>Medical expenses for the credit</t>
        </is>
      </c>
      <c r="DU80" s="15">
        <f>household!$B$5&amp;"'s federal credit amounts"</f>
        <v/>
      </c>
      <c r="DV80" s="15">
        <f>household!$B$5&amp;"'s federal tax"</f>
        <v/>
      </c>
      <c r="DW80" s="15">
        <f>household!$B$5&amp;"'s provincial credit amounts"</f>
        <v/>
      </c>
      <c r="DX80" s="15">
        <f>household!$B$5&amp;"'s provincial tax"</f>
        <v/>
      </c>
      <c r="DY80" s="15">
        <f>household!$B$8&amp;"'s federal credit amounts"</f>
        <v/>
      </c>
      <c r="DZ80" s="15">
        <f>household!$B$8&amp;"'s federal tax"</f>
        <v/>
      </c>
      <c r="EA80" s="15">
        <f>household!$B$8&amp;"'s provincial credit amounts"</f>
        <v/>
      </c>
      <c r="EB80" s="15">
        <f>household!$B$8&amp;"'s provincial tax"</f>
        <v/>
      </c>
      <c r="EC80" s="15" t="inlineStr">
        <is>
          <t>Income tax for the year (incl. OAS clawback)</t>
        </is>
      </c>
      <c r="ED80" s="15" t="inlineStr">
        <is>
          <t>Investments, end</t>
        </is>
      </c>
      <c r="EE80" s="15" t="inlineStr">
        <is>
          <t>Net worth, end</t>
        </is>
      </c>
    </row>
    <row r="81">
      <c r="A81" s="21">
        <f>household!$B$4+0</f>
        <v/>
      </c>
      <c r="B81" s="21">
        <f>A81-household!$B$6</f>
        <v/>
      </c>
      <c r="C81" s="21">
        <f>A81-household!$B$9</f>
        <v/>
      </c>
      <c r="D81" s="14">
        <f>AU81+AV81+AW81+AX81+BB81+BJ81+AM81</f>
        <v/>
      </c>
      <c r="E81" s="14">
        <f>CN81+AI81+AH81</f>
        <v/>
      </c>
      <c r="F81" s="14">
        <f>BS81+BT81+BU81+BV81</f>
        <v/>
      </c>
      <c r="G81" s="14">
        <f>CQ81+CR81+CU81+CD81+CE81+CA81-CV81+CJ81+CW81</f>
        <v/>
      </c>
      <c r="H81" s="22">
        <f>IF(BY81+CB81+CC81+CF81&lt;=0,"",G81/(BY81+CB81+CC81+CF81))</f>
        <v/>
      </c>
      <c r="I81" s="23">
        <f>ED81/O81</f>
        <v/>
      </c>
      <c r="J81" s="23">
        <f>EE81/O81</f>
        <v/>
      </c>
      <c r="K81" s="14">
        <f>MAX(0,CP81-CQ81-CR81-CU81)</f>
        <v/>
      </c>
      <c r="L81" s="10" t="n"/>
      <c r="M81" s="22">
        <f>IF(L81="",$B$18,L81)</f>
        <v/>
      </c>
      <c r="N81" s="13" t="n"/>
      <c r="O81" s="12">
        <f>(1+$B$17)^(A81-household!$B$4+1)</f>
        <v/>
      </c>
      <c r="P81" s="12">
        <f>(1+$B$17)^(A81-tax_tables!$B$4)</f>
        <v/>
      </c>
      <c r="Q81" s="12">
        <f>(1+$B$17)^(A81-tax_tables!$B$4-MAX(0,MIN(A81,tax_tables!$B$45)-tax_tables!$B$44+1))</f>
        <v/>
      </c>
      <c r="R81" s="12">
        <f>(1+$B$21)^(A81-household!$B$4+1)</f>
        <v/>
      </c>
      <c r="S81" s="12">
        <f>(1+$B$22)^(A81-household!$B$4+1)</f>
        <v/>
      </c>
      <c r="T81" s="12">
        <f>(1+$B$23)^(A81-household!$B$4+1)</f>
        <v/>
      </c>
      <c r="U81" s="21">
        <f>IF(A81&lt;$B$5,1,0)</f>
        <v/>
      </c>
      <c r="V81" s="21">
        <f>IF(A81&lt;$B$6,1,0)</f>
        <v/>
      </c>
      <c r="W81" s="21">
        <f>IF(U81+V81&gt;0,1,0)</f>
        <v/>
      </c>
      <c r="X81" s="14">
        <f>U81*$B$7*O81+SUMPRODUCT(($B$72:$B$77=A81)*($D$72:$D$77="Wages: person 1")*$C$72:$C$77)*O81</f>
        <v/>
      </c>
      <c r="Y81" s="14">
        <f>V81*$B$8*O81+SUMPRODUCT(($B$72:$B$77=A81)*($D$72:$D$77="Wages: person 2")*$C$72:$C$77)*O81</f>
        <v/>
      </c>
      <c r="Z81" s="14">
        <f>U81*$B$9*O81</f>
        <v/>
      </c>
      <c r="AA81" s="14">
        <f>V81*$B$10*O81</f>
        <v/>
      </c>
      <c r="AB81" s="14">
        <f>U81*$B$11*O81</f>
        <v/>
      </c>
      <c r="AC81" s="14">
        <f>V81*$B$12*O81</f>
        <v/>
      </c>
      <c r="AD81" s="14">
        <f>X81+Y81</f>
        <v/>
      </c>
      <c r="AE81" s="14">
        <f>AD81-Z81-AA81</f>
        <v/>
      </c>
      <c r="AF81" s="14">
        <f>tax_tables!$B$25*MAX(0,MIN(X81,tax_tables!$B$27*P81)-tax_tables!$B$26)+tax_tables!$B$28*MAX(0,MIN(X81,tax_tables!$B$29*P81)-tax_tables!$B$27*P81)+tax_tables!$B$30*MIN(X81,tax_tables!$B$31*P81)</f>
        <v/>
      </c>
      <c r="AG81" s="14">
        <f>tax_tables!$B$25*MAX(0,MIN(Y81,tax_tables!$B$27*P81)-tax_tables!$B$26)+tax_tables!$B$28*MAX(0,MIN(Y81,tax_tables!$B$29*P81)-tax_tables!$B$27*P81)+tax_tables!$B$30*MIN(Y81,tax_tables!$B$31*P81)</f>
        <v/>
      </c>
      <c r="AH81" s="14">
        <f>AF81+AG81</f>
        <v/>
      </c>
      <c r="AI81" s="14">
        <f>$B$13*AE81</f>
        <v/>
      </c>
      <c r="AJ81" s="14">
        <f>AD81-Z81-AA81-AH81-AI81</f>
        <v/>
      </c>
      <c r="AK81" s="14">
        <f>SUMPRODUCT(($B$72:$B$77=A81)*($D$72:$D$77="Other taxable income")*$C$72:$C$77)*O81</f>
        <v/>
      </c>
      <c r="AL81" s="14">
        <f>SUMPRODUCT(($B$72:$B$77=A81)*($D$72:$D$77="Tax-free money in")*$C$72:$C$77)*O81</f>
        <v/>
      </c>
      <c r="AM81" s="14">
        <f>SUMPRODUCT(($B$72:$B$77=A81)*($D$72:$D$77="Expense")*$C$72:$C$77)*O81</f>
        <v/>
      </c>
      <c r="AN81" s="21">
        <f>IF(OR($B$64="",A81&lt;$B$64),1,0)</f>
        <v/>
      </c>
      <c r="AO81" s="14">
        <f>properties!$I$2</f>
        <v/>
      </c>
      <c r="AP81" s="14">
        <f>AN81*AO81*properties!$J$2</f>
        <v/>
      </c>
      <c r="AQ81" s="14">
        <f>AN81*MIN(properties!$K$2,AO81+AP81)</f>
        <v/>
      </c>
      <c r="AR81" s="14">
        <f>AN81*(AO81+AP81-AQ81)</f>
        <v/>
      </c>
      <c r="AS81" s="14">
        <f>AN81*properties!$G$2*O81</f>
        <v/>
      </c>
      <c r="AT81" s="14">
        <f>(1-AN81)*$E$64*O81</f>
        <v/>
      </c>
      <c r="AU81" s="14">
        <f>AQ81+AS81+AT81</f>
        <v/>
      </c>
      <c r="AV81" s="14">
        <f>SUMIF(budget!$A$2:$A$300,"household",budget!$F$2:$F$300)*O81*IF(N81="",1,N81)</f>
        <v/>
      </c>
      <c r="AW81" s="14">
        <f>SUMPRODUCT((other_budget!$C$2:$C$30&lt;=A81)*(other_budget!$D$2:$D$30&gt;=A81)*other_budget!$B$2:$B$30)*O81</f>
        <v/>
      </c>
      <c r="AX81" s="14">
        <f>SUMPRODUCT((kids_budget!$D$2:$D$40&lt;=A81)*(kids_budget!$E$2:$E$40&gt;=A81)*(kids_budget!$G$2:$G$40&lt;&gt;"college_funds")*kids_budget!$C$2:$C$40*((kids_budget!$F$2:$F$40="college")*S81+(kids_budget!$F$2:$F$40&lt;&gt;"college")*O81))</f>
        <v/>
      </c>
      <c r="AY81" s="14">
        <f>SUMPRODUCT((kids_budget!$D$2:$D$40&lt;=A81)*(kids_budget!$E$2:$E$40&gt;=A81)*(kids_budget!$G$2:$G$40="college_funds")*kids_budget!$C$2:$C$40*((kids_budget!$F$2:$F$40="college")*S81+(kids_budget!$F$2:$F$40&lt;&gt;"college")*O81))</f>
        <v/>
      </c>
      <c r="AZ81" s="14">
        <f>$B$61</f>
        <v/>
      </c>
      <c r="BA81" s="14">
        <f>MIN(AY81,AZ81*(1+M81))</f>
        <v/>
      </c>
      <c r="BB81" s="14">
        <f>AY81-BA81</f>
        <v/>
      </c>
      <c r="BC81" s="14">
        <f>AZ81*(1+M81)-BA81</f>
        <v/>
      </c>
      <c r="BD81" s="14">
        <f>W81*healthcare!$B$2*R81</f>
        <v/>
      </c>
      <c r="BE81" s="21">
        <f>(1-W81)*2</f>
        <v/>
      </c>
      <c r="BF81" s="14">
        <f>BE81*healthcare!$B$3*12*R81</f>
        <v/>
      </c>
      <c r="BG81" s="14">
        <f>BE81*healthcare!$B$4*R81</f>
        <v/>
      </c>
      <c r="BH81" s="21">
        <f>AND(B81&gt;=$B$44,B81&lt;$B$44+$B$45)*1+AND(C81&gt;=$B$46,C81&lt;$B$46+$B$47)*1</f>
        <v/>
      </c>
      <c r="BI81" s="14">
        <f>BH81*$B$48*T81</f>
        <v/>
      </c>
      <c r="BJ81" s="14">
        <f>BD81+BF81+BG81+BI81</f>
        <v/>
      </c>
      <c r="BK81" s="14">
        <f>SUMPRODUCT((1-($B$65:$B$68&gt;0)*(A81&gt;=$B$65:$B$68))*(1-(($C$65:$C$68&gt;0)*(A81&gt;=$C$65:$C$68)))*(properties!$L$3:$L$6-properties!$M$3:$M$6))*O81+SUMPRODUCT((1-($B$65:$B$68&gt;0)*(A81&gt;=$B$65:$B$68))*(($C$65:$C$68&gt;0)*(A81&gt;=$C$65:$C$68))*($D$65:$D$68-$E$65:$E$68))*O81</f>
        <v/>
      </c>
      <c r="BL81" s="14">
        <f>SUMPRODUCT((1-($B$65:$B$68&gt;0)*(A81&gt;=$B$65:$B$68))*properties!$N$3:$N$6*(A81&lt;=properties!$O$3:$O$6))</f>
        <v/>
      </c>
      <c r="BM81" s="14">
        <f>MAX(0,BK81-BL81)</f>
        <v/>
      </c>
      <c r="BN81" s="14">
        <f>SUMPRODUCT(($B$64:$B$68=A81)*$G$64:$G$68)</f>
        <v/>
      </c>
      <c r="BO81" s="14">
        <f>SUMPRODUCT(($B$64:$B$68=A81)*$H$64:$H$68)</f>
        <v/>
      </c>
      <c r="BP81" s="14">
        <f>SUMPRODUCT(($B$64:$B$68=A81)*$I$64:$I$68)</f>
        <v/>
      </c>
      <c r="BQ81" s="14">
        <f>AN81*properties!$C$2*(1+properties!$D$2)^(A81-household!$B$4+1)</f>
        <v/>
      </c>
      <c r="BR81" s="14">
        <f>SUMPRODUCT((1-($B$65:$B$68&gt;0)*(A81&gt;=$B$65:$B$68))*properties!$C$3:$C$6*(1+properties!$D$3:$D$6)^(A81-household!$B$4+1))</f>
        <v/>
      </c>
      <c r="BS81" s="14">
        <f>IF(A81&gt;=household!$B$6+$B$26,household!$B$11*12*$B$30*O81,0)</f>
        <v/>
      </c>
      <c r="BT81" s="14">
        <f>IF(A81&gt;=household!$B$9+$B$27,household!$B$12*12*$B$31*O81,0)</f>
        <v/>
      </c>
      <c r="BU81" s="14">
        <f>IF(A81&gt;=household!$B$6+$B$28,tax_tables!$B$19*12*P81*MIN(1,household!$B$13/40)*$B$32*(1+tax_tables!$B$20*(B81&gt;=75)),0)</f>
        <v/>
      </c>
      <c r="BV81" s="14">
        <f>IF(A81&gt;=household!$B$9+$B$29,tax_tables!$B$19*12*P81*MIN(1,household!$B$14/40)*$B$33*(1+tax_tables!$B$20*(C81&gt;=75)),0)</f>
        <v/>
      </c>
      <c r="BW81" s="14">
        <f>IF(AND($B$36&lt;&gt;0,A81&gt;=household!$B$6+$B$37),$B$36*(1+$B$17)^(MAX(household!$B$6+$B$37,household!$B$4-1)-household!$B$4+1)*(1+$B$40*$B$17)^(A81-MAX(household!$B$6+$B$37,household!$B$4-1)),0)</f>
        <v/>
      </c>
      <c r="BX81" s="14">
        <f>IF(AND($B$38&lt;&gt;0,A81&gt;=household!$B$9+$B$39),$B$38*(1+$B$17)^(MAX(household!$B$9+$B$39,household!$B$4-1)-household!$B$4+1)*(1+$B$40*$B$17)^(A81-MAX(household!$B$9+$B$39,household!$B$4-1)),0)</f>
        <v/>
      </c>
      <c r="BY81" s="14">
        <f>$B$56</f>
        <v/>
      </c>
      <c r="BZ81" s="14">
        <f>$B$57</f>
        <v/>
      </c>
      <c r="CA81" s="14">
        <f>$B$19*BY81</f>
        <v/>
      </c>
      <c r="CB81" s="14">
        <f>$B$58</f>
        <v/>
      </c>
      <c r="CC81" s="14">
        <f>$B$59</f>
        <v/>
      </c>
      <c r="CD81" s="14">
        <f>IF(B81&gt;=tax_tables!$B$46,MAX(0,CB81)*INDEX(tax_tables!$N$5:$N$54,MATCH(MIN(B81-1,120),tax_tables!$M$5:$M$54,0)),0)</f>
        <v/>
      </c>
      <c r="CE81" s="14">
        <f>IF(C81&gt;=tax_tables!$B$46,MAX(0,CC81)*INDEX(tax_tables!$N$5:$N$54,MATCH(MIN(C81-1,120),tax_tables!$M$5:$M$54,0)),0)</f>
        <v/>
      </c>
      <c r="CF81" s="14">
        <f>$B$60</f>
        <v/>
      </c>
      <c r="CG81" s="14">
        <f>IF(OR($B$52="",$B$53=""),0,IF(AND(A81&gt;=$B$52,A81&lt;=$B$53),$B$51*O81,0))</f>
        <v/>
      </c>
      <c r="CH81" s="14">
        <f>MAX(0,CB81*(1+M81)-CD81)</f>
        <v/>
      </c>
      <c r="CI81" s="14">
        <f>MAX(0,CC81*(1+M81)-CE81)</f>
        <v/>
      </c>
      <c r="CJ81" s="14">
        <f>MIN(CG81,CH81+CI81)</f>
        <v/>
      </c>
      <c r="CK81" s="14">
        <f>IF(CH81+CI81&gt;1,CJ81*CH81/(CH81+CI81),0)</f>
        <v/>
      </c>
      <c r="CL81" s="14">
        <f>CJ81-CK81</f>
        <v/>
      </c>
      <c r="CM81" s="14">
        <f>household!$B$16</f>
        <v/>
      </c>
      <c r="CN81" s="14">
        <f>$B$14</f>
        <v/>
      </c>
      <c r="CO81" s="14">
        <f>AJ81+F81+BW81+BX81+BK81+CA81+CD81+CE81+BN81+AK81+AL81+CJ81</f>
        <v/>
      </c>
      <c r="CP81" s="14">
        <f>D81+CN81-CO81</f>
        <v/>
      </c>
      <c r="CQ81" s="14">
        <f>MAX(0,MIN(CP81,BY81*(1+M81-$B$19)))</f>
        <v/>
      </c>
      <c r="CR81" s="14">
        <f>MAX(0,MIN(CP81-CQ81,(CH81-CK81)+(CI81-CL81)))</f>
        <v/>
      </c>
      <c r="CS81" s="14">
        <f>IF((CH81-CK81)+(CI81-CL81)&gt;1,CR81*(CH81-CK81)/((CH81-CK81)+(CI81-CL81)),0)</f>
        <v/>
      </c>
      <c r="CT81" s="14">
        <f>CR81-CS81</f>
        <v/>
      </c>
      <c r="CU81" s="14">
        <f>MAX(0,MIN(CP81-CQ81-CR81,CF81*(1+M81)))</f>
        <v/>
      </c>
      <c r="CV81" s="14">
        <f>MAX(0,-CP81)</f>
        <v/>
      </c>
      <c r="CW81" s="14">
        <f>MIN(CV81,MAX(0,CM81))</f>
        <v/>
      </c>
      <c r="CX81" s="22">
        <f>IF(BY81&gt;0,MAX(0,1-BZ81/BY81),0)</f>
        <v/>
      </c>
      <c r="CY81" s="14">
        <f>CQ81*CX81</f>
        <v/>
      </c>
      <c r="CZ81" s="14">
        <f>BY81*(1+M81-$B$19)-CQ81+(CV81-CW81)</f>
        <v/>
      </c>
      <c r="DA81" s="14">
        <f>BZ81-(CQ81-CY81)+(CV81-CW81)</f>
        <v/>
      </c>
      <c r="DB81" s="14">
        <f>CB81*(1+M81)-CD81-CS81-CK81+Z81+AB81</f>
        <v/>
      </c>
      <c r="DC81" s="14">
        <f>CC81*(1+M81)-CE81-CT81-CL81+AA81+AC81</f>
        <v/>
      </c>
      <c r="DD81" s="14">
        <f>CF81*(1+M81)-CU81+CW81</f>
        <v/>
      </c>
      <c r="DE81" s="14">
        <f>CD81+CK81+CS81</f>
        <v/>
      </c>
      <c r="DF81" s="14">
        <f>CA81*household!$B$15*$B$20*(1+tax_tables!$B$17)</f>
        <v/>
      </c>
      <c r="DG81" s="14">
        <f>X81+BS81+BU81+BW81+DE81+DF81+CA81*household!$B$15*(1-$B$20)+(CY81+BO81)*household!$B$15*tax_tables!$B$18+(BP81+BM81+AK81)*household!$B$15-Z81</f>
        <v/>
      </c>
      <c r="DH81" s="14">
        <f>CE81+CL81+CT81</f>
        <v/>
      </c>
      <c r="DI81" s="14">
        <f>CA81*(1-household!$B$15)*$B$20*(1+tax_tables!$B$17)</f>
        <v/>
      </c>
      <c r="DJ81" s="14">
        <f>Y81+BT81+BV81+BX81+DH81+DI81+CA81*(1-household!$B$15)*(1-$B$20)+(CY81+BO81)*(1-household!$B$15)*tax_tables!$B$18+(BP81+BM81+AK81)*(1-household!$B$15)-AA81</f>
        <v/>
      </c>
      <c r="DK81" s="14">
        <f>IF((DG81&gt;=DJ81),MIN(0.5*(BW81+IF(B81&gt;=65,DE81,0)),MAX(0,(DG81-DJ81)/2)),MIN(0.5*(BX81+IF(C81&gt;=65,DH81,0)),MAX(0,(DJ81-DG81)/2)))</f>
        <v/>
      </c>
      <c r="DL81" s="14">
        <f>DG81+IF((DG81&gt;=DJ81),-DK81,DK81)</f>
        <v/>
      </c>
      <c r="DM81" s="14">
        <f>BW81+IF(B81&gt;=65,DE81,0)+IF((DG81&gt;=DJ81),-DK81,DK81)</f>
        <v/>
      </c>
      <c r="DN81" s="14">
        <f>MIN(BU81,tax_tables!$B$22*MAX(0,DL81-tax_tables!$B$21*P81))</f>
        <v/>
      </c>
      <c r="DO81" s="14">
        <f>MAX(0,DL81-DN81)</f>
        <v/>
      </c>
      <c r="DP81" s="14">
        <f>DJ81+IF((DG81&gt;=DJ81),DK81,-DK81)</f>
        <v/>
      </c>
      <c r="DQ81" s="14">
        <f>BX81+IF(C81&gt;=65,DH81,0)+IF((DG81&gt;=DJ81),DK81,-DK81)</f>
        <v/>
      </c>
      <c r="DR81" s="14">
        <f>MIN(BV81,tax_tables!$B$22*MAX(0,DP81-tax_tables!$B$21*P81))</f>
        <v/>
      </c>
      <c r="DS81" s="14">
        <f>MAX(0,DP81-DR81)</f>
        <v/>
      </c>
      <c r="DT81" s="14">
        <f>BJ81-BD81</f>
        <v/>
      </c>
      <c r="DU81" s="14">
        <f>(tax_tables!$B$6-(tax_tables!$B$6-tax_tables!$B$7)*MIN(1,MAX(0,(DL81-tax_tables!$B$8*P81)/((tax_tables!$B$9-tax_tables!$B$8)*P81))))*P81+(B81&gt;=65)*MAX(0,tax_tables!$B$10*P81-tax_tables!$B$12*MAX(0,DL81-tax_tables!$B$11*P81))+MIN(tax_tables!$B$13,DM81)+MIN(tax_tables!$B$14*P81,X81)+AF81+(DL81&lt;=DP81)*MAX(0,DT81-MIN(0.03*DL81,tax_tables!$B$15*P81))</f>
        <v/>
      </c>
      <c r="DV81" s="14">
        <f>MAX(0,SUMPRODUCT((DO81&gt;tax_tables!$E$5:$E$16*P81)*(DO81-tax_tables!$E$5:$E$16*P81)*tax_tables!$G$5:$G$16)-tax_tables!$B$5*DU81-tax_tables!$B$16*DF81)</f>
        <v/>
      </c>
      <c r="DW81" s="14">
        <f>tax_tables!$B$35*Q81+(B81&gt;=65)*MAX(0,tax_tables!$B$36*Q81-tax_tables!$B$12*MAX(0,DL81-tax_tables!$B$37*Q81))+MIN(tax_tables!$B$38,DM81)+AF81+(DL81&lt;=DP81)*MAX(0,DT81-MIN(0.03*DL81,tax_tables!$B$39*Q81))</f>
        <v/>
      </c>
      <c r="DX81" s="14">
        <f>MAX(0,SUMPRODUCT((DO81&gt;tax_tables!$I$5:$I$16*Q81)*(DO81-tax_tables!$I$5:$I$16*Q81)*tax_tables!$K$5:$K$16)-tax_tables!$B$34*DW81-tax_tables!$B$40*DF81-MAX(0,tax_tables!$B$41*Q81-tax_tables!$B$43*MAX(0,DL81-tax_tables!$B$42*Q81)))</f>
        <v/>
      </c>
      <c r="DY81" s="14">
        <f>(tax_tables!$B$6-(tax_tables!$B$6-tax_tables!$B$7)*MIN(1,MAX(0,(DP81-tax_tables!$B$8*P81)/((tax_tables!$B$9-tax_tables!$B$8)*P81))))*P81+(C81&gt;=65)*MAX(0,tax_tables!$B$10*P81-tax_tables!$B$12*MAX(0,DP81-tax_tables!$B$11*P81))+MIN(tax_tables!$B$13,DQ81)+MIN(tax_tables!$B$14*P81,Y81)+AG81+(DL81&gt;DP81)*MAX(0,DT81-MIN(0.03*DP81,tax_tables!$B$15*P81))</f>
        <v/>
      </c>
      <c r="DZ81" s="14">
        <f>MAX(0,SUMPRODUCT((DS81&gt;tax_tables!$E$5:$E$16*P81)*(DS81-tax_tables!$E$5:$E$16*P81)*tax_tables!$G$5:$G$16)-tax_tables!$B$5*DY81-tax_tables!$B$16*DI81)</f>
        <v/>
      </c>
      <c r="EA81" s="14">
        <f>tax_tables!$B$35*Q81+(C81&gt;=65)*MAX(0,tax_tables!$B$36*Q81-tax_tables!$B$12*MAX(0,DP81-tax_tables!$B$37*Q81))+MIN(tax_tables!$B$38,DQ81)+AG81+(DL81&gt;DP81)*MAX(0,DT81-MIN(0.03*DP81,tax_tables!$B$39*Q81))</f>
        <v/>
      </c>
      <c r="EB81" s="14">
        <f>MAX(0,SUMPRODUCT((DS81&gt;tax_tables!$I$5:$I$16*Q81)*(DS81-tax_tables!$I$5:$I$16*Q81)*tax_tables!$K$5:$K$16)-tax_tables!$B$34*EA81-tax_tables!$B$40*DI81-MAX(0,tax_tables!$B$41*Q81-tax_tables!$B$43*MAX(0,DP81-tax_tables!$B$42*Q81)))</f>
        <v/>
      </c>
      <c r="EC81" s="14">
        <f>DV81+DZ81+DX81+EB81+DN81+DR81</f>
        <v/>
      </c>
      <c r="ED81" s="14">
        <f>CZ81+DB81+DC81+DD81</f>
        <v/>
      </c>
      <c r="EE81" s="14">
        <f>ED81+BQ81-AR81+BR81</f>
        <v/>
      </c>
    </row>
    <row r="82">
      <c r="A82" s="21">
        <f>A81+1</f>
        <v/>
      </c>
      <c r="B82" s="21">
        <f>A82-household!$B$6</f>
        <v/>
      </c>
      <c r="C82" s="21">
        <f>A82-household!$B$9</f>
        <v/>
      </c>
      <c r="D82" s="14">
        <f>AU82+AV82+AW82+AX82+BB82+BJ82+AM82</f>
        <v/>
      </c>
      <c r="E82" s="14">
        <f>CN82+AI82+AH82</f>
        <v/>
      </c>
      <c r="F82" s="14">
        <f>BS82+BT82+BU82+BV82</f>
        <v/>
      </c>
      <c r="G82" s="14">
        <f>CQ82+CR82+CU82+CD82+CE82+CA82-CV82+CJ82+CW82</f>
        <v/>
      </c>
      <c r="H82" s="22">
        <f>IF(BY82+CB82+CC82+CF82&lt;=0,"",G82/(BY82+CB82+CC82+CF82))</f>
        <v/>
      </c>
      <c r="I82" s="23">
        <f>ED82/O82</f>
        <v/>
      </c>
      <c r="J82" s="23">
        <f>EE82/O82</f>
        <v/>
      </c>
      <c r="K82" s="14">
        <f>MAX(0,CP82-CQ82-CR82-CU82)</f>
        <v/>
      </c>
      <c r="L82" s="10" t="n"/>
      <c r="M82" s="22">
        <f>IF(L82="",$B$18,L82)</f>
        <v/>
      </c>
      <c r="N82" s="13" t="n"/>
      <c r="O82" s="12">
        <f>(1+$B$17)^(A82-household!$B$4+1)</f>
        <v/>
      </c>
      <c r="P82" s="12">
        <f>(1+$B$17)^(A82-tax_tables!$B$4)</f>
        <v/>
      </c>
      <c r="Q82" s="12">
        <f>(1+$B$17)^(A82-tax_tables!$B$4-MAX(0,MIN(A82,tax_tables!$B$45)-tax_tables!$B$44+1))</f>
        <v/>
      </c>
      <c r="R82" s="12">
        <f>(1+$B$21)^(A82-household!$B$4+1)</f>
        <v/>
      </c>
      <c r="S82" s="12">
        <f>(1+$B$22)^(A82-household!$B$4+1)</f>
        <v/>
      </c>
      <c r="T82" s="12">
        <f>(1+$B$23)^(A82-household!$B$4+1)</f>
        <v/>
      </c>
      <c r="U82" s="21">
        <f>IF(A82&lt;$B$5,1,0)</f>
        <v/>
      </c>
      <c r="V82" s="21">
        <f>IF(A82&lt;$B$6,1,0)</f>
        <v/>
      </c>
      <c r="W82" s="21">
        <f>IF(U82+V82&gt;0,1,0)</f>
        <v/>
      </c>
      <c r="X82" s="14">
        <f>U82*$B$7*O82+SUMPRODUCT(($B$72:$B$77=A82)*($D$72:$D$77="Wages: person 1")*$C$72:$C$77)*O82</f>
        <v/>
      </c>
      <c r="Y82" s="14">
        <f>V82*$B$8*O82+SUMPRODUCT(($B$72:$B$77=A82)*($D$72:$D$77="Wages: person 2")*$C$72:$C$77)*O82</f>
        <v/>
      </c>
      <c r="Z82" s="14">
        <f>U82*$B$9*O82</f>
        <v/>
      </c>
      <c r="AA82" s="14">
        <f>V82*$B$10*O82</f>
        <v/>
      </c>
      <c r="AB82" s="14">
        <f>U82*$B$11*O82</f>
        <v/>
      </c>
      <c r="AC82" s="14">
        <f>V82*$B$12*O82</f>
        <v/>
      </c>
      <c r="AD82" s="14">
        <f>X82+Y82</f>
        <v/>
      </c>
      <c r="AE82" s="14">
        <f>AD82-Z82-AA82</f>
        <v/>
      </c>
      <c r="AF82" s="14">
        <f>tax_tables!$B$25*MAX(0,MIN(X82,tax_tables!$B$27*P82)-tax_tables!$B$26)+tax_tables!$B$28*MAX(0,MIN(X82,tax_tables!$B$29*P82)-tax_tables!$B$27*P82)+tax_tables!$B$30*MIN(X82,tax_tables!$B$31*P82)</f>
        <v/>
      </c>
      <c r="AG82" s="14">
        <f>tax_tables!$B$25*MAX(0,MIN(Y82,tax_tables!$B$27*P82)-tax_tables!$B$26)+tax_tables!$B$28*MAX(0,MIN(Y82,tax_tables!$B$29*P82)-tax_tables!$B$27*P82)+tax_tables!$B$30*MIN(Y82,tax_tables!$B$31*P82)</f>
        <v/>
      </c>
      <c r="AH82" s="14">
        <f>AF82+AG82</f>
        <v/>
      </c>
      <c r="AI82" s="14">
        <f>$B$13*AE82</f>
        <v/>
      </c>
      <c r="AJ82" s="14">
        <f>AD82-Z82-AA82-AH82-AI82</f>
        <v/>
      </c>
      <c r="AK82" s="14">
        <f>SUMPRODUCT(($B$72:$B$77=A82)*($D$72:$D$77="Other taxable income")*$C$72:$C$77)*O82</f>
        <v/>
      </c>
      <c r="AL82" s="14">
        <f>SUMPRODUCT(($B$72:$B$77=A82)*($D$72:$D$77="Tax-free money in")*$C$72:$C$77)*O82</f>
        <v/>
      </c>
      <c r="AM82" s="14">
        <f>SUMPRODUCT(($B$72:$B$77=A82)*($D$72:$D$77="Expense")*$C$72:$C$77)*O82</f>
        <v/>
      </c>
      <c r="AN82" s="21">
        <f>IF(OR($B$64="",A82&lt;$B$64),1,0)</f>
        <v/>
      </c>
      <c r="AO82" s="14">
        <f>AR81</f>
        <v/>
      </c>
      <c r="AP82" s="14">
        <f>AN82*AO82*properties!$J$2</f>
        <v/>
      </c>
      <c r="AQ82" s="14">
        <f>AN82*MIN(properties!$K$2,AO82+AP82)</f>
        <v/>
      </c>
      <c r="AR82" s="14">
        <f>AN82*(AO82+AP82-AQ82)</f>
        <v/>
      </c>
      <c r="AS82" s="14">
        <f>AN82*properties!$G$2*O82</f>
        <v/>
      </c>
      <c r="AT82" s="14">
        <f>(1-AN82)*$E$64*O82</f>
        <v/>
      </c>
      <c r="AU82" s="14">
        <f>AQ82+AS82+AT82</f>
        <v/>
      </c>
      <c r="AV82" s="14">
        <f>SUMIF(budget!$A$2:$A$300,"household",budget!$F$2:$F$300)*O82*IF(N82="",1,N82)</f>
        <v/>
      </c>
      <c r="AW82" s="14">
        <f>SUMPRODUCT((other_budget!$C$2:$C$30&lt;=A82)*(other_budget!$D$2:$D$30&gt;=A82)*other_budget!$B$2:$B$30)*O82</f>
        <v/>
      </c>
      <c r="AX82" s="14">
        <f>SUMPRODUCT((kids_budget!$D$2:$D$40&lt;=A82)*(kids_budget!$E$2:$E$40&gt;=A82)*(kids_budget!$G$2:$G$40&lt;&gt;"college_funds")*kids_budget!$C$2:$C$40*((kids_budget!$F$2:$F$40="college")*S82+(kids_budget!$F$2:$F$40&lt;&gt;"college")*O82))</f>
        <v/>
      </c>
      <c r="AY82" s="14">
        <f>SUMPRODUCT((kids_budget!$D$2:$D$40&lt;=A82)*(kids_budget!$E$2:$E$40&gt;=A82)*(kids_budget!$G$2:$G$40="college_funds")*kids_budget!$C$2:$C$40*((kids_budget!$F$2:$F$40="college")*S82+(kids_budget!$F$2:$F$40&lt;&gt;"college")*O82))</f>
        <v/>
      </c>
      <c r="AZ82" s="14">
        <f>BC81</f>
        <v/>
      </c>
      <c r="BA82" s="14">
        <f>MIN(AY82,AZ82*(1+M82))</f>
        <v/>
      </c>
      <c r="BB82" s="14">
        <f>AY82-BA82</f>
        <v/>
      </c>
      <c r="BC82" s="14">
        <f>AZ82*(1+M82)-BA82</f>
        <v/>
      </c>
      <c r="BD82" s="14">
        <f>W82*healthcare!$B$2*R82</f>
        <v/>
      </c>
      <c r="BE82" s="21">
        <f>(1-W82)*2</f>
        <v/>
      </c>
      <c r="BF82" s="14">
        <f>BE82*healthcare!$B$3*12*R82</f>
        <v/>
      </c>
      <c r="BG82" s="14">
        <f>BE82*healthcare!$B$4*R82</f>
        <v/>
      </c>
      <c r="BH82" s="21">
        <f>AND(B82&gt;=$B$44,B82&lt;$B$44+$B$45)*1+AND(C82&gt;=$B$46,C82&lt;$B$46+$B$47)*1</f>
        <v/>
      </c>
      <c r="BI82" s="14">
        <f>BH82*$B$48*T82</f>
        <v/>
      </c>
      <c r="BJ82" s="14">
        <f>BD82+BF82+BG82+BI82</f>
        <v/>
      </c>
      <c r="BK82" s="14">
        <f>SUMPRODUCT((1-($B$65:$B$68&gt;0)*(A82&gt;=$B$65:$B$68))*(1-(($C$65:$C$68&gt;0)*(A82&gt;=$C$65:$C$68)))*(properties!$L$3:$L$6-properties!$M$3:$M$6))*O82+SUMPRODUCT((1-($B$65:$B$68&gt;0)*(A82&gt;=$B$65:$B$68))*(($C$65:$C$68&gt;0)*(A82&gt;=$C$65:$C$68))*($D$65:$D$68-$E$65:$E$68))*O82</f>
        <v/>
      </c>
      <c r="BL82" s="14">
        <f>SUMPRODUCT((1-($B$65:$B$68&gt;0)*(A82&gt;=$B$65:$B$68))*properties!$N$3:$N$6*(A82&lt;=properties!$O$3:$O$6))</f>
        <v/>
      </c>
      <c r="BM82" s="14">
        <f>MAX(0,BK82-BL82)</f>
        <v/>
      </c>
      <c r="BN82" s="14">
        <f>SUMPRODUCT(($B$64:$B$68=A82)*$G$64:$G$68)</f>
        <v/>
      </c>
      <c r="BO82" s="14">
        <f>SUMPRODUCT(($B$64:$B$68=A82)*$H$64:$H$68)</f>
        <v/>
      </c>
      <c r="BP82" s="14">
        <f>SUMPRODUCT(($B$64:$B$68=A82)*$I$64:$I$68)</f>
        <v/>
      </c>
      <c r="BQ82" s="14">
        <f>AN82*properties!$C$2*(1+properties!$D$2)^(A82-household!$B$4+1)</f>
        <v/>
      </c>
      <c r="BR82" s="14">
        <f>SUMPRODUCT((1-($B$65:$B$68&gt;0)*(A82&gt;=$B$65:$B$68))*properties!$C$3:$C$6*(1+properties!$D$3:$D$6)^(A82-household!$B$4+1))</f>
        <v/>
      </c>
      <c r="BS82" s="14">
        <f>IF(A82&gt;=household!$B$6+$B$26,household!$B$11*12*$B$30*O82,0)</f>
        <v/>
      </c>
      <c r="BT82" s="14">
        <f>IF(A82&gt;=household!$B$9+$B$27,household!$B$12*12*$B$31*O82,0)</f>
        <v/>
      </c>
      <c r="BU82" s="14">
        <f>IF(A82&gt;=household!$B$6+$B$28,tax_tables!$B$19*12*P82*MIN(1,household!$B$13/40)*$B$32*(1+tax_tables!$B$20*(B82&gt;=75)),0)</f>
        <v/>
      </c>
      <c r="BV82" s="14">
        <f>IF(A82&gt;=household!$B$9+$B$29,tax_tables!$B$19*12*P82*MIN(1,household!$B$14/40)*$B$33*(1+tax_tables!$B$20*(C82&gt;=75)),0)</f>
        <v/>
      </c>
      <c r="BW82" s="14">
        <f>IF(AND($B$36&lt;&gt;0,A82&gt;=household!$B$6+$B$37),$B$36*(1+$B$17)^(MAX(household!$B$6+$B$37,household!$B$4-1)-household!$B$4+1)*(1+$B$40*$B$17)^(A82-MAX(household!$B$6+$B$37,household!$B$4-1)),0)</f>
        <v/>
      </c>
      <c r="BX82" s="14">
        <f>IF(AND($B$38&lt;&gt;0,A82&gt;=household!$B$9+$B$39),$B$38*(1+$B$17)^(MAX(household!$B$9+$B$39,household!$B$4-1)-household!$B$4+1)*(1+$B$40*$B$17)^(A82-MAX(household!$B$9+$B$39,household!$B$4-1)),0)</f>
        <v/>
      </c>
      <c r="BY82" s="14">
        <f>CZ81</f>
        <v/>
      </c>
      <c r="BZ82" s="14">
        <f>DA81</f>
        <v/>
      </c>
      <c r="CA82" s="14">
        <f>$B$19*BY82</f>
        <v/>
      </c>
      <c r="CB82" s="14">
        <f>DB81</f>
        <v/>
      </c>
      <c r="CC82" s="14">
        <f>DC81</f>
        <v/>
      </c>
      <c r="CD82" s="14">
        <f>IF(B82&gt;=tax_tables!$B$46,MAX(0,CB82)*INDEX(tax_tables!$N$5:$N$54,MATCH(MIN(B82-1,120),tax_tables!$M$5:$M$54,0)),0)</f>
        <v/>
      </c>
      <c r="CE82" s="14">
        <f>IF(C82&gt;=tax_tables!$B$46,MAX(0,CC82)*INDEX(tax_tables!$N$5:$N$54,MATCH(MIN(C82-1,120),tax_tables!$M$5:$M$54,0)),0)</f>
        <v/>
      </c>
      <c r="CF82" s="14">
        <f>DD81</f>
        <v/>
      </c>
      <c r="CG82" s="14">
        <f>IF(OR($B$52="",$B$53=""),0,IF(AND(A82&gt;=$B$52,A82&lt;=$B$53),$B$51*O82,0))</f>
        <v/>
      </c>
      <c r="CH82" s="14">
        <f>MAX(0,CB82*(1+M82)-CD82)</f>
        <v/>
      </c>
      <c r="CI82" s="14">
        <f>MAX(0,CC82*(1+M82)-CE82)</f>
        <v/>
      </c>
      <c r="CJ82" s="14">
        <f>MIN(CG82,CH82+CI82)</f>
        <v/>
      </c>
      <c r="CK82" s="14">
        <f>IF(CH82+CI82&gt;1,CJ82*CH82/(CH82+CI82),0)</f>
        <v/>
      </c>
      <c r="CL82" s="14">
        <f>CJ82-CK82</f>
        <v/>
      </c>
      <c r="CM82" s="14">
        <f>CM81-CW81+CU81+tax_tables!$B$32*P82*2</f>
        <v/>
      </c>
      <c r="CN82" s="14">
        <f>EC81-AI81</f>
        <v/>
      </c>
      <c r="CO82" s="14">
        <f>AJ82+F82+BW82+BX82+BK82+CA82+CD82+CE82+BN82+AK82+AL82+CJ82</f>
        <v/>
      </c>
      <c r="CP82" s="14">
        <f>D82+CN82-CO82</f>
        <v/>
      </c>
      <c r="CQ82" s="14">
        <f>MAX(0,MIN(CP82,BY82*(1+M82-$B$19)))</f>
        <v/>
      </c>
      <c r="CR82" s="14">
        <f>MAX(0,MIN(CP82-CQ82,(CH82-CK82)+(CI82-CL82)))</f>
        <v/>
      </c>
      <c r="CS82" s="14">
        <f>IF((CH82-CK82)+(CI82-CL82)&gt;1,CR82*(CH82-CK82)/((CH82-CK82)+(CI82-CL82)),0)</f>
        <v/>
      </c>
      <c r="CT82" s="14">
        <f>CR82-CS82</f>
        <v/>
      </c>
      <c r="CU82" s="14">
        <f>MAX(0,MIN(CP82-CQ82-CR82,CF82*(1+M82)))</f>
        <v/>
      </c>
      <c r="CV82" s="14">
        <f>MAX(0,-CP82)</f>
        <v/>
      </c>
      <c r="CW82" s="14">
        <f>MIN(CV82,MAX(0,CM82))</f>
        <v/>
      </c>
      <c r="CX82" s="22">
        <f>IF(BY82&gt;0,MAX(0,1-BZ82/BY82),0)</f>
        <v/>
      </c>
      <c r="CY82" s="14">
        <f>CQ82*CX82</f>
        <v/>
      </c>
      <c r="CZ82" s="14">
        <f>BY82*(1+M82-$B$19)-CQ82+(CV82-CW82)</f>
        <v/>
      </c>
      <c r="DA82" s="14">
        <f>BZ82-(CQ82-CY82)+(CV82-CW82)</f>
        <v/>
      </c>
      <c r="DB82" s="14">
        <f>CB82*(1+M82)-CD82-CS82-CK82+Z82+AB82</f>
        <v/>
      </c>
      <c r="DC82" s="14">
        <f>CC82*(1+M82)-CE82-CT82-CL82+AA82+AC82</f>
        <v/>
      </c>
      <c r="DD82" s="14">
        <f>CF82*(1+M82)-CU82+CW82</f>
        <v/>
      </c>
      <c r="DE82" s="14">
        <f>CD82+CK82+CS82</f>
        <v/>
      </c>
      <c r="DF82" s="14">
        <f>CA82*household!$B$15*$B$20*(1+tax_tables!$B$17)</f>
        <v/>
      </c>
      <c r="DG82" s="14">
        <f>X82+BS82+BU82+BW82+DE82+DF82+CA82*household!$B$15*(1-$B$20)+(CY82+BO82)*household!$B$15*tax_tables!$B$18+(BP82+BM82+AK82)*household!$B$15-Z82</f>
        <v/>
      </c>
      <c r="DH82" s="14">
        <f>CE82+CL82+CT82</f>
        <v/>
      </c>
      <c r="DI82" s="14">
        <f>CA82*(1-household!$B$15)*$B$20*(1+tax_tables!$B$17)</f>
        <v/>
      </c>
      <c r="DJ82" s="14">
        <f>Y82+BT82+BV82+BX82+DH82+DI82+CA82*(1-household!$B$15)*(1-$B$20)+(CY82+BO82)*(1-household!$B$15)*tax_tables!$B$18+(BP82+BM82+AK82)*(1-household!$B$15)-AA82</f>
        <v/>
      </c>
      <c r="DK82" s="14">
        <f>IF((DG82&gt;=DJ82),MIN(0.5*(BW82+IF(B82&gt;=65,DE82,0)),MAX(0,(DG82-DJ82)/2)),MIN(0.5*(BX82+IF(C82&gt;=65,DH82,0)),MAX(0,(DJ82-DG82)/2)))</f>
        <v/>
      </c>
      <c r="DL82" s="14">
        <f>DG82+IF((DG82&gt;=DJ82),-DK82,DK82)</f>
        <v/>
      </c>
      <c r="DM82" s="14">
        <f>BW82+IF(B82&gt;=65,DE82,0)+IF((DG82&gt;=DJ82),-DK82,DK82)</f>
        <v/>
      </c>
      <c r="DN82" s="14">
        <f>MIN(BU82,tax_tables!$B$22*MAX(0,DL82-tax_tables!$B$21*P82))</f>
        <v/>
      </c>
      <c r="DO82" s="14">
        <f>MAX(0,DL82-DN82)</f>
        <v/>
      </c>
      <c r="DP82" s="14">
        <f>DJ82+IF((DG82&gt;=DJ82),DK82,-DK82)</f>
        <v/>
      </c>
      <c r="DQ82" s="14">
        <f>BX82+IF(C82&gt;=65,DH82,0)+IF((DG82&gt;=DJ82),DK82,-DK82)</f>
        <v/>
      </c>
      <c r="DR82" s="14">
        <f>MIN(BV82,tax_tables!$B$22*MAX(0,DP82-tax_tables!$B$21*P82))</f>
        <v/>
      </c>
      <c r="DS82" s="14">
        <f>MAX(0,DP82-DR82)</f>
        <v/>
      </c>
      <c r="DT82" s="14">
        <f>BJ82-BD82</f>
        <v/>
      </c>
      <c r="DU82" s="14">
        <f>(tax_tables!$B$6-(tax_tables!$B$6-tax_tables!$B$7)*MIN(1,MAX(0,(DL82-tax_tables!$B$8*P82)/((tax_tables!$B$9-tax_tables!$B$8)*P82))))*P82+(B82&gt;=65)*MAX(0,tax_tables!$B$10*P82-tax_tables!$B$12*MAX(0,DL82-tax_tables!$B$11*P82))+MIN(tax_tables!$B$13,DM82)+MIN(tax_tables!$B$14*P82,X82)+AF82+(DL82&lt;=DP82)*MAX(0,DT82-MIN(0.03*DL82,tax_tables!$B$15*P82))</f>
        <v/>
      </c>
      <c r="DV82" s="14">
        <f>MAX(0,SUMPRODUCT((DO82&gt;tax_tables!$E$5:$E$16*P82)*(DO82-tax_tables!$E$5:$E$16*P82)*tax_tables!$G$5:$G$16)-tax_tables!$B$5*DU82-tax_tables!$B$16*DF82)</f>
        <v/>
      </c>
      <c r="DW82" s="14">
        <f>tax_tables!$B$35*Q82+(B82&gt;=65)*MAX(0,tax_tables!$B$36*Q82-tax_tables!$B$12*MAX(0,DL82-tax_tables!$B$37*Q82))+MIN(tax_tables!$B$38,DM82)+AF82+(DL82&lt;=DP82)*MAX(0,DT82-MIN(0.03*DL82,tax_tables!$B$39*Q82))</f>
        <v/>
      </c>
      <c r="DX82" s="14">
        <f>MAX(0,SUMPRODUCT((DO82&gt;tax_tables!$I$5:$I$16*Q82)*(DO82-tax_tables!$I$5:$I$16*Q82)*tax_tables!$K$5:$K$16)-tax_tables!$B$34*DW82-tax_tables!$B$40*DF82-MAX(0,tax_tables!$B$41*Q82-tax_tables!$B$43*MAX(0,DL82-tax_tables!$B$42*Q82)))</f>
        <v/>
      </c>
      <c r="DY82" s="14">
        <f>(tax_tables!$B$6-(tax_tables!$B$6-tax_tables!$B$7)*MIN(1,MAX(0,(DP82-tax_tables!$B$8*P82)/((tax_tables!$B$9-tax_tables!$B$8)*P82))))*P82+(C82&gt;=65)*MAX(0,tax_tables!$B$10*P82-tax_tables!$B$12*MAX(0,DP82-tax_tables!$B$11*P82))+MIN(tax_tables!$B$13,DQ82)+MIN(tax_tables!$B$14*P82,Y82)+AG82+(DL82&gt;DP82)*MAX(0,DT82-MIN(0.03*DP82,tax_tables!$B$15*P82))</f>
        <v/>
      </c>
      <c r="DZ82" s="14">
        <f>MAX(0,SUMPRODUCT((DS82&gt;tax_tables!$E$5:$E$16*P82)*(DS82-tax_tables!$E$5:$E$16*P82)*tax_tables!$G$5:$G$16)-tax_tables!$B$5*DY82-tax_tables!$B$16*DI82)</f>
        <v/>
      </c>
      <c r="EA82" s="14">
        <f>tax_tables!$B$35*Q82+(C82&gt;=65)*MAX(0,tax_tables!$B$36*Q82-tax_tables!$B$12*MAX(0,DP82-tax_tables!$B$37*Q82))+MIN(tax_tables!$B$38,DQ82)+AG82+(DL82&gt;DP82)*MAX(0,DT82-MIN(0.03*DP82,tax_tables!$B$39*Q82))</f>
        <v/>
      </c>
      <c r="EB82" s="14">
        <f>MAX(0,SUMPRODUCT((DS82&gt;tax_tables!$I$5:$I$16*Q82)*(DS82-tax_tables!$I$5:$I$16*Q82)*tax_tables!$K$5:$K$16)-tax_tables!$B$34*EA82-tax_tables!$B$40*DI82-MAX(0,tax_tables!$B$41*Q82-tax_tables!$B$43*MAX(0,DP82-tax_tables!$B$42*Q82)))</f>
        <v/>
      </c>
      <c r="EC82" s="14">
        <f>DV82+DZ82+DX82+EB82+DN82+DR82</f>
        <v/>
      </c>
      <c r="ED82" s="14">
        <f>CZ82+DB82+DC82+DD82</f>
        <v/>
      </c>
      <c r="EE82" s="14">
        <f>ED82+BQ82-AR82+BR82</f>
        <v/>
      </c>
    </row>
    <row r="83">
      <c r="A83" s="21">
        <f>A82+1</f>
        <v/>
      </c>
      <c r="B83" s="21">
        <f>A83-household!$B$6</f>
        <v/>
      </c>
      <c r="C83" s="21">
        <f>A83-household!$B$9</f>
        <v/>
      </c>
      <c r="D83" s="14">
        <f>AU83+AV83+AW83+AX83+BB83+BJ83+AM83</f>
        <v/>
      </c>
      <c r="E83" s="14">
        <f>CN83+AI83+AH83</f>
        <v/>
      </c>
      <c r="F83" s="14">
        <f>BS83+BT83+BU83+BV83</f>
        <v/>
      </c>
      <c r="G83" s="14">
        <f>CQ83+CR83+CU83+CD83+CE83+CA83-CV83+CJ83+CW83</f>
        <v/>
      </c>
      <c r="H83" s="22">
        <f>IF(BY83+CB83+CC83+CF83&lt;=0,"",G83/(BY83+CB83+CC83+CF83))</f>
        <v/>
      </c>
      <c r="I83" s="23">
        <f>ED83/O83</f>
        <v/>
      </c>
      <c r="J83" s="23">
        <f>EE83/O83</f>
        <v/>
      </c>
      <c r="K83" s="14">
        <f>MAX(0,CP83-CQ83-CR83-CU83)</f>
        <v/>
      </c>
      <c r="L83" s="10" t="n"/>
      <c r="M83" s="22">
        <f>IF(L83="",$B$18,L83)</f>
        <v/>
      </c>
      <c r="N83" s="13" t="n"/>
      <c r="O83" s="12">
        <f>(1+$B$17)^(A83-household!$B$4+1)</f>
        <v/>
      </c>
      <c r="P83" s="12">
        <f>(1+$B$17)^(A83-tax_tables!$B$4)</f>
        <v/>
      </c>
      <c r="Q83" s="12">
        <f>(1+$B$17)^(A83-tax_tables!$B$4-MAX(0,MIN(A83,tax_tables!$B$45)-tax_tables!$B$44+1))</f>
        <v/>
      </c>
      <c r="R83" s="12">
        <f>(1+$B$21)^(A83-household!$B$4+1)</f>
        <v/>
      </c>
      <c r="S83" s="12">
        <f>(1+$B$22)^(A83-household!$B$4+1)</f>
        <v/>
      </c>
      <c r="T83" s="12">
        <f>(1+$B$23)^(A83-household!$B$4+1)</f>
        <v/>
      </c>
      <c r="U83" s="21">
        <f>IF(A83&lt;$B$5,1,0)</f>
        <v/>
      </c>
      <c r="V83" s="21">
        <f>IF(A83&lt;$B$6,1,0)</f>
        <v/>
      </c>
      <c r="W83" s="21">
        <f>IF(U83+V83&gt;0,1,0)</f>
        <v/>
      </c>
      <c r="X83" s="14">
        <f>U83*$B$7*O83+SUMPRODUCT(($B$72:$B$77=A83)*($D$72:$D$77="Wages: person 1")*$C$72:$C$77)*O83</f>
        <v/>
      </c>
      <c r="Y83" s="14">
        <f>V83*$B$8*O83+SUMPRODUCT(($B$72:$B$77=A83)*($D$72:$D$77="Wages: person 2")*$C$72:$C$77)*O83</f>
        <v/>
      </c>
      <c r="Z83" s="14">
        <f>U83*$B$9*O83</f>
        <v/>
      </c>
      <c r="AA83" s="14">
        <f>V83*$B$10*O83</f>
        <v/>
      </c>
      <c r="AB83" s="14">
        <f>U83*$B$11*O83</f>
        <v/>
      </c>
      <c r="AC83" s="14">
        <f>V83*$B$12*O83</f>
        <v/>
      </c>
      <c r="AD83" s="14">
        <f>X83+Y83</f>
        <v/>
      </c>
      <c r="AE83" s="14">
        <f>AD83-Z83-AA83</f>
        <v/>
      </c>
      <c r="AF83" s="14">
        <f>tax_tables!$B$25*MAX(0,MIN(X83,tax_tables!$B$27*P83)-tax_tables!$B$26)+tax_tables!$B$28*MAX(0,MIN(X83,tax_tables!$B$29*P83)-tax_tables!$B$27*P83)+tax_tables!$B$30*MIN(X83,tax_tables!$B$31*P83)</f>
        <v/>
      </c>
      <c r="AG83" s="14">
        <f>tax_tables!$B$25*MAX(0,MIN(Y83,tax_tables!$B$27*P83)-tax_tables!$B$26)+tax_tables!$B$28*MAX(0,MIN(Y83,tax_tables!$B$29*P83)-tax_tables!$B$27*P83)+tax_tables!$B$30*MIN(Y83,tax_tables!$B$31*P83)</f>
        <v/>
      </c>
      <c r="AH83" s="14">
        <f>AF83+AG83</f>
        <v/>
      </c>
      <c r="AI83" s="14">
        <f>$B$13*AE83</f>
        <v/>
      </c>
      <c r="AJ83" s="14">
        <f>AD83-Z83-AA83-AH83-AI83</f>
        <v/>
      </c>
      <c r="AK83" s="14">
        <f>SUMPRODUCT(($B$72:$B$77=A83)*($D$72:$D$77="Other taxable income")*$C$72:$C$77)*O83</f>
        <v/>
      </c>
      <c r="AL83" s="14">
        <f>SUMPRODUCT(($B$72:$B$77=A83)*($D$72:$D$77="Tax-free money in")*$C$72:$C$77)*O83</f>
        <v/>
      </c>
      <c r="AM83" s="14">
        <f>SUMPRODUCT(($B$72:$B$77=A83)*($D$72:$D$77="Expense")*$C$72:$C$77)*O83</f>
        <v/>
      </c>
      <c r="AN83" s="21">
        <f>IF(OR($B$64="",A83&lt;$B$64),1,0)</f>
        <v/>
      </c>
      <c r="AO83" s="14">
        <f>AR82</f>
        <v/>
      </c>
      <c r="AP83" s="14">
        <f>AN83*AO83*properties!$J$2</f>
        <v/>
      </c>
      <c r="AQ83" s="14">
        <f>AN83*MIN(properties!$K$2,AO83+AP83)</f>
        <v/>
      </c>
      <c r="AR83" s="14">
        <f>AN83*(AO83+AP83-AQ83)</f>
        <v/>
      </c>
      <c r="AS83" s="14">
        <f>AN83*properties!$G$2*O83</f>
        <v/>
      </c>
      <c r="AT83" s="14">
        <f>(1-AN83)*$E$64*O83</f>
        <v/>
      </c>
      <c r="AU83" s="14">
        <f>AQ83+AS83+AT83</f>
        <v/>
      </c>
      <c r="AV83" s="14">
        <f>SUMIF(budget!$A$2:$A$300,"household",budget!$F$2:$F$300)*O83*IF(N83="",1,N83)</f>
        <v/>
      </c>
      <c r="AW83" s="14">
        <f>SUMPRODUCT((other_budget!$C$2:$C$30&lt;=A83)*(other_budget!$D$2:$D$30&gt;=A83)*other_budget!$B$2:$B$30)*O83</f>
        <v/>
      </c>
      <c r="AX83" s="14">
        <f>SUMPRODUCT((kids_budget!$D$2:$D$40&lt;=A83)*(kids_budget!$E$2:$E$40&gt;=A83)*(kids_budget!$G$2:$G$40&lt;&gt;"college_funds")*kids_budget!$C$2:$C$40*((kids_budget!$F$2:$F$40="college")*S83+(kids_budget!$F$2:$F$40&lt;&gt;"college")*O83))</f>
        <v/>
      </c>
      <c r="AY83" s="14">
        <f>SUMPRODUCT((kids_budget!$D$2:$D$40&lt;=A83)*(kids_budget!$E$2:$E$40&gt;=A83)*(kids_budget!$G$2:$G$40="college_funds")*kids_budget!$C$2:$C$40*((kids_budget!$F$2:$F$40="college")*S83+(kids_budget!$F$2:$F$40&lt;&gt;"college")*O83))</f>
        <v/>
      </c>
      <c r="AZ83" s="14">
        <f>BC82</f>
        <v/>
      </c>
      <c r="BA83" s="14">
        <f>MIN(AY83,AZ83*(1+M83))</f>
        <v/>
      </c>
      <c r="BB83" s="14">
        <f>AY83-BA83</f>
        <v/>
      </c>
      <c r="BC83" s="14">
        <f>AZ83*(1+M83)-BA83</f>
        <v/>
      </c>
      <c r="BD83" s="14">
        <f>W83*healthcare!$B$2*R83</f>
        <v/>
      </c>
      <c r="BE83" s="21">
        <f>(1-W83)*2</f>
        <v/>
      </c>
      <c r="BF83" s="14">
        <f>BE83*healthcare!$B$3*12*R83</f>
        <v/>
      </c>
      <c r="BG83" s="14">
        <f>BE83*healthcare!$B$4*R83</f>
        <v/>
      </c>
      <c r="BH83" s="21">
        <f>AND(B83&gt;=$B$44,B83&lt;$B$44+$B$45)*1+AND(C83&gt;=$B$46,C83&lt;$B$46+$B$47)*1</f>
        <v/>
      </c>
      <c r="BI83" s="14">
        <f>BH83*$B$48*T83</f>
        <v/>
      </c>
      <c r="BJ83" s="14">
        <f>BD83+BF83+BG83+BI83</f>
        <v/>
      </c>
      <c r="BK83" s="14">
        <f>SUMPRODUCT((1-($B$65:$B$68&gt;0)*(A83&gt;=$B$65:$B$68))*(1-(($C$65:$C$68&gt;0)*(A83&gt;=$C$65:$C$68)))*(properties!$L$3:$L$6-properties!$M$3:$M$6))*O83+SUMPRODUCT((1-($B$65:$B$68&gt;0)*(A83&gt;=$B$65:$B$68))*(($C$65:$C$68&gt;0)*(A83&gt;=$C$65:$C$68))*($D$65:$D$68-$E$65:$E$68))*O83</f>
        <v/>
      </c>
      <c r="BL83" s="14">
        <f>SUMPRODUCT((1-($B$65:$B$68&gt;0)*(A83&gt;=$B$65:$B$68))*properties!$N$3:$N$6*(A83&lt;=properties!$O$3:$O$6))</f>
        <v/>
      </c>
      <c r="BM83" s="14">
        <f>MAX(0,BK83-BL83)</f>
        <v/>
      </c>
      <c r="BN83" s="14">
        <f>SUMPRODUCT(($B$64:$B$68=A83)*$G$64:$G$68)</f>
        <v/>
      </c>
      <c r="BO83" s="14">
        <f>SUMPRODUCT(($B$64:$B$68=A83)*$H$64:$H$68)</f>
        <v/>
      </c>
      <c r="BP83" s="14">
        <f>SUMPRODUCT(($B$64:$B$68=A83)*$I$64:$I$68)</f>
        <v/>
      </c>
      <c r="BQ83" s="14">
        <f>AN83*properties!$C$2*(1+properties!$D$2)^(A83-household!$B$4+1)</f>
        <v/>
      </c>
      <c r="BR83" s="14">
        <f>SUMPRODUCT((1-($B$65:$B$68&gt;0)*(A83&gt;=$B$65:$B$68))*properties!$C$3:$C$6*(1+properties!$D$3:$D$6)^(A83-household!$B$4+1))</f>
        <v/>
      </c>
      <c r="BS83" s="14">
        <f>IF(A83&gt;=household!$B$6+$B$26,household!$B$11*12*$B$30*O83,0)</f>
        <v/>
      </c>
      <c r="BT83" s="14">
        <f>IF(A83&gt;=household!$B$9+$B$27,household!$B$12*12*$B$31*O83,0)</f>
        <v/>
      </c>
      <c r="BU83" s="14">
        <f>IF(A83&gt;=household!$B$6+$B$28,tax_tables!$B$19*12*P83*MIN(1,household!$B$13/40)*$B$32*(1+tax_tables!$B$20*(B83&gt;=75)),0)</f>
        <v/>
      </c>
      <c r="BV83" s="14">
        <f>IF(A83&gt;=household!$B$9+$B$29,tax_tables!$B$19*12*P83*MIN(1,household!$B$14/40)*$B$33*(1+tax_tables!$B$20*(C83&gt;=75)),0)</f>
        <v/>
      </c>
      <c r="BW83" s="14">
        <f>IF(AND($B$36&lt;&gt;0,A83&gt;=household!$B$6+$B$37),$B$36*(1+$B$17)^(MAX(household!$B$6+$B$37,household!$B$4-1)-household!$B$4+1)*(1+$B$40*$B$17)^(A83-MAX(household!$B$6+$B$37,household!$B$4-1)),0)</f>
        <v/>
      </c>
      <c r="BX83" s="14">
        <f>IF(AND($B$38&lt;&gt;0,A83&gt;=household!$B$9+$B$39),$B$38*(1+$B$17)^(MAX(household!$B$9+$B$39,household!$B$4-1)-household!$B$4+1)*(1+$B$40*$B$17)^(A83-MAX(household!$B$9+$B$39,household!$B$4-1)),0)</f>
        <v/>
      </c>
      <c r="BY83" s="14">
        <f>CZ82</f>
        <v/>
      </c>
      <c r="BZ83" s="14">
        <f>DA82</f>
        <v/>
      </c>
      <c r="CA83" s="14">
        <f>$B$19*BY83</f>
        <v/>
      </c>
      <c r="CB83" s="14">
        <f>DB82</f>
        <v/>
      </c>
      <c r="CC83" s="14">
        <f>DC82</f>
        <v/>
      </c>
      <c r="CD83" s="14">
        <f>IF(B83&gt;=tax_tables!$B$46,MAX(0,CB83)*INDEX(tax_tables!$N$5:$N$54,MATCH(MIN(B83-1,120),tax_tables!$M$5:$M$54,0)),0)</f>
        <v/>
      </c>
      <c r="CE83" s="14">
        <f>IF(C83&gt;=tax_tables!$B$46,MAX(0,CC83)*INDEX(tax_tables!$N$5:$N$54,MATCH(MIN(C83-1,120),tax_tables!$M$5:$M$54,0)),0)</f>
        <v/>
      </c>
      <c r="CF83" s="14">
        <f>DD82</f>
        <v/>
      </c>
      <c r="CG83" s="14">
        <f>IF(OR($B$52="",$B$53=""),0,IF(AND(A83&gt;=$B$52,A83&lt;=$B$53),$B$51*O83,0))</f>
        <v/>
      </c>
      <c r="CH83" s="14">
        <f>MAX(0,CB83*(1+M83)-CD83)</f>
        <v/>
      </c>
      <c r="CI83" s="14">
        <f>MAX(0,CC83*(1+M83)-CE83)</f>
        <v/>
      </c>
      <c r="CJ83" s="14">
        <f>MIN(CG83,CH83+CI83)</f>
        <v/>
      </c>
      <c r="CK83" s="14">
        <f>IF(CH83+CI83&gt;1,CJ83*CH83/(CH83+CI83),0)</f>
        <v/>
      </c>
      <c r="CL83" s="14">
        <f>CJ83-CK83</f>
        <v/>
      </c>
      <c r="CM83" s="14">
        <f>CM82-CW82+CU82+tax_tables!$B$32*P83*2</f>
        <v/>
      </c>
      <c r="CN83" s="14">
        <f>EC82-AI82</f>
        <v/>
      </c>
      <c r="CO83" s="14">
        <f>AJ83+F83+BW83+BX83+BK83+CA83+CD83+CE83+BN83+AK83+AL83+CJ83</f>
        <v/>
      </c>
      <c r="CP83" s="14">
        <f>D83+CN83-CO83</f>
        <v/>
      </c>
      <c r="CQ83" s="14">
        <f>MAX(0,MIN(CP83,BY83*(1+M83-$B$19)))</f>
        <v/>
      </c>
      <c r="CR83" s="14">
        <f>MAX(0,MIN(CP83-CQ83,(CH83-CK83)+(CI83-CL83)))</f>
        <v/>
      </c>
      <c r="CS83" s="14">
        <f>IF((CH83-CK83)+(CI83-CL83)&gt;1,CR83*(CH83-CK83)/((CH83-CK83)+(CI83-CL83)),0)</f>
        <v/>
      </c>
      <c r="CT83" s="14">
        <f>CR83-CS83</f>
        <v/>
      </c>
      <c r="CU83" s="14">
        <f>MAX(0,MIN(CP83-CQ83-CR83,CF83*(1+M83)))</f>
        <v/>
      </c>
      <c r="CV83" s="14">
        <f>MAX(0,-CP83)</f>
        <v/>
      </c>
      <c r="CW83" s="14">
        <f>MIN(CV83,MAX(0,CM83))</f>
        <v/>
      </c>
      <c r="CX83" s="22">
        <f>IF(BY83&gt;0,MAX(0,1-BZ83/BY83),0)</f>
        <v/>
      </c>
      <c r="CY83" s="14">
        <f>CQ83*CX83</f>
        <v/>
      </c>
      <c r="CZ83" s="14">
        <f>BY83*(1+M83-$B$19)-CQ83+(CV83-CW83)</f>
        <v/>
      </c>
      <c r="DA83" s="14">
        <f>BZ83-(CQ83-CY83)+(CV83-CW83)</f>
        <v/>
      </c>
      <c r="DB83" s="14">
        <f>CB83*(1+M83)-CD83-CS83-CK83+Z83+AB83</f>
        <v/>
      </c>
      <c r="DC83" s="14">
        <f>CC83*(1+M83)-CE83-CT83-CL83+AA83+AC83</f>
        <v/>
      </c>
      <c r="DD83" s="14">
        <f>CF83*(1+M83)-CU83+CW83</f>
        <v/>
      </c>
      <c r="DE83" s="14">
        <f>CD83+CK83+CS83</f>
        <v/>
      </c>
      <c r="DF83" s="14">
        <f>CA83*household!$B$15*$B$20*(1+tax_tables!$B$17)</f>
        <v/>
      </c>
      <c r="DG83" s="14">
        <f>X83+BS83+BU83+BW83+DE83+DF83+CA83*household!$B$15*(1-$B$20)+(CY83+BO83)*household!$B$15*tax_tables!$B$18+(BP83+BM83+AK83)*household!$B$15-Z83</f>
        <v/>
      </c>
      <c r="DH83" s="14">
        <f>CE83+CL83+CT83</f>
        <v/>
      </c>
      <c r="DI83" s="14">
        <f>CA83*(1-household!$B$15)*$B$20*(1+tax_tables!$B$17)</f>
        <v/>
      </c>
      <c r="DJ83" s="14">
        <f>Y83+BT83+BV83+BX83+DH83+DI83+CA83*(1-household!$B$15)*(1-$B$20)+(CY83+BO83)*(1-household!$B$15)*tax_tables!$B$18+(BP83+BM83+AK83)*(1-household!$B$15)-AA83</f>
        <v/>
      </c>
      <c r="DK83" s="14">
        <f>IF((DG83&gt;=DJ83),MIN(0.5*(BW83+IF(B83&gt;=65,DE83,0)),MAX(0,(DG83-DJ83)/2)),MIN(0.5*(BX83+IF(C83&gt;=65,DH83,0)),MAX(0,(DJ83-DG83)/2)))</f>
        <v/>
      </c>
      <c r="DL83" s="14">
        <f>DG83+IF((DG83&gt;=DJ83),-DK83,DK83)</f>
        <v/>
      </c>
      <c r="DM83" s="14">
        <f>BW83+IF(B83&gt;=65,DE83,0)+IF((DG83&gt;=DJ83),-DK83,DK83)</f>
        <v/>
      </c>
      <c r="DN83" s="14">
        <f>MIN(BU83,tax_tables!$B$22*MAX(0,DL83-tax_tables!$B$21*P83))</f>
        <v/>
      </c>
      <c r="DO83" s="14">
        <f>MAX(0,DL83-DN83)</f>
        <v/>
      </c>
      <c r="DP83" s="14">
        <f>DJ83+IF((DG83&gt;=DJ83),DK83,-DK83)</f>
        <v/>
      </c>
      <c r="DQ83" s="14">
        <f>BX83+IF(C83&gt;=65,DH83,0)+IF((DG83&gt;=DJ83),DK83,-DK83)</f>
        <v/>
      </c>
      <c r="DR83" s="14">
        <f>MIN(BV83,tax_tables!$B$22*MAX(0,DP83-tax_tables!$B$21*P83))</f>
        <v/>
      </c>
      <c r="DS83" s="14">
        <f>MAX(0,DP83-DR83)</f>
        <v/>
      </c>
      <c r="DT83" s="14">
        <f>BJ83-BD83</f>
        <v/>
      </c>
      <c r="DU83" s="14">
        <f>(tax_tables!$B$6-(tax_tables!$B$6-tax_tables!$B$7)*MIN(1,MAX(0,(DL83-tax_tables!$B$8*P83)/((tax_tables!$B$9-tax_tables!$B$8)*P83))))*P83+(B83&gt;=65)*MAX(0,tax_tables!$B$10*P83-tax_tables!$B$12*MAX(0,DL83-tax_tables!$B$11*P83))+MIN(tax_tables!$B$13,DM83)+MIN(tax_tables!$B$14*P83,X83)+AF83+(DL83&lt;=DP83)*MAX(0,DT83-MIN(0.03*DL83,tax_tables!$B$15*P83))</f>
        <v/>
      </c>
      <c r="DV83" s="14">
        <f>MAX(0,SUMPRODUCT((DO83&gt;tax_tables!$E$5:$E$16*P83)*(DO83-tax_tables!$E$5:$E$16*P83)*tax_tables!$G$5:$G$16)-tax_tables!$B$5*DU83-tax_tables!$B$16*DF83)</f>
        <v/>
      </c>
      <c r="DW83" s="14">
        <f>tax_tables!$B$35*Q83+(B83&gt;=65)*MAX(0,tax_tables!$B$36*Q83-tax_tables!$B$12*MAX(0,DL83-tax_tables!$B$37*Q83))+MIN(tax_tables!$B$38,DM83)+AF83+(DL83&lt;=DP83)*MAX(0,DT83-MIN(0.03*DL83,tax_tables!$B$39*Q83))</f>
        <v/>
      </c>
      <c r="DX83" s="14">
        <f>MAX(0,SUMPRODUCT((DO83&gt;tax_tables!$I$5:$I$16*Q83)*(DO83-tax_tables!$I$5:$I$16*Q83)*tax_tables!$K$5:$K$16)-tax_tables!$B$34*DW83-tax_tables!$B$40*DF83-MAX(0,tax_tables!$B$41*Q83-tax_tables!$B$43*MAX(0,DL83-tax_tables!$B$42*Q83)))</f>
        <v/>
      </c>
      <c r="DY83" s="14">
        <f>(tax_tables!$B$6-(tax_tables!$B$6-tax_tables!$B$7)*MIN(1,MAX(0,(DP83-tax_tables!$B$8*P83)/((tax_tables!$B$9-tax_tables!$B$8)*P83))))*P83+(C83&gt;=65)*MAX(0,tax_tables!$B$10*P83-tax_tables!$B$12*MAX(0,DP83-tax_tables!$B$11*P83))+MIN(tax_tables!$B$13,DQ83)+MIN(tax_tables!$B$14*P83,Y83)+AG83+(DL83&gt;DP83)*MAX(0,DT83-MIN(0.03*DP83,tax_tables!$B$15*P83))</f>
        <v/>
      </c>
      <c r="DZ83" s="14">
        <f>MAX(0,SUMPRODUCT((DS83&gt;tax_tables!$E$5:$E$16*P83)*(DS83-tax_tables!$E$5:$E$16*P83)*tax_tables!$G$5:$G$16)-tax_tables!$B$5*DY83-tax_tables!$B$16*DI83)</f>
        <v/>
      </c>
      <c r="EA83" s="14">
        <f>tax_tables!$B$35*Q83+(C83&gt;=65)*MAX(0,tax_tables!$B$36*Q83-tax_tables!$B$12*MAX(0,DP83-tax_tables!$B$37*Q83))+MIN(tax_tables!$B$38,DQ83)+AG83+(DL83&gt;DP83)*MAX(0,DT83-MIN(0.03*DP83,tax_tables!$B$39*Q83))</f>
        <v/>
      </c>
      <c r="EB83" s="14">
        <f>MAX(0,SUMPRODUCT((DS83&gt;tax_tables!$I$5:$I$16*Q83)*(DS83-tax_tables!$I$5:$I$16*Q83)*tax_tables!$K$5:$K$16)-tax_tables!$B$34*EA83-tax_tables!$B$40*DI83-MAX(0,tax_tables!$B$41*Q83-tax_tables!$B$43*MAX(0,DP83-tax_tables!$B$42*Q83)))</f>
        <v/>
      </c>
      <c r="EC83" s="14">
        <f>DV83+DZ83+DX83+EB83+DN83+DR83</f>
        <v/>
      </c>
      <c r="ED83" s="14">
        <f>CZ83+DB83+DC83+DD83</f>
        <v/>
      </c>
      <c r="EE83" s="14">
        <f>ED83+BQ83-AR83+BR83</f>
        <v/>
      </c>
    </row>
    <row r="84">
      <c r="A84" s="21">
        <f>A83+1</f>
        <v/>
      </c>
      <c r="B84" s="21">
        <f>A84-household!$B$6</f>
        <v/>
      </c>
      <c r="C84" s="21">
        <f>A84-household!$B$9</f>
        <v/>
      </c>
      <c r="D84" s="14">
        <f>AU84+AV84+AW84+AX84+BB84+BJ84+AM84</f>
        <v/>
      </c>
      <c r="E84" s="14">
        <f>CN84+AI84+AH84</f>
        <v/>
      </c>
      <c r="F84" s="14">
        <f>BS84+BT84+BU84+BV84</f>
        <v/>
      </c>
      <c r="G84" s="14">
        <f>CQ84+CR84+CU84+CD84+CE84+CA84-CV84+CJ84+CW84</f>
        <v/>
      </c>
      <c r="H84" s="22">
        <f>IF(BY84+CB84+CC84+CF84&lt;=0,"",G84/(BY84+CB84+CC84+CF84))</f>
        <v/>
      </c>
      <c r="I84" s="23">
        <f>ED84/O84</f>
        <v/>
      </c>
      <c r="J84" s="23">
        <f>EE84/O84</f>
        <v/>
      </c>
      <c r="K84" s="14">
        <f>MAX(0,CP84-CQ84-CR84-CU84)</f>
        <v/>
      </c>
      <c r="L84" s="10" t="n"/>
      <c r="M84" s="22">
        <f>IF(L84="",$B$18,L84)</f>
        <v/>
      </c>
      <c r="N84" s="13" t="n"/>
      <c r="O84" s="12">
        <f>(1+$B$17)^(A84-household!$B$4+1)</f>
        <v/>
      </c>
      <c r="P84" s="12">
        <f>(1+$B$17)^(A84-tax_tables!$B$4)</f>
        <v/>
      </c>
      <c r="Q84" s="12">
        <f>(1+$B$17)^(A84-tax_tables!$B$4-MAX(0,MIN(A84,tax_tables!$B$45)-tax_tables!$B$44+1))</f>
        <v/>
      </c>
      <c r="R84" s="12">
        <f>(1+$B$21)^(A84-household!$B$4+1)</f>
        <v/>
      </c>
      <c r="S84" s="12">
        <f>(1+$B$22)^(A84-household!$B$4+1)</f>
        <v/>
      </c>
      <c r="T84" s="12">
        <f>(1+$B$23)^(A84-household!$B$4+1)</f>
        <v/>
      </c>
      <c r="U84" s="21">
        <f>IF(A84&lt;$B$5,1,0)</f>
        <v/>
      </c>
      <c r="V84" s="21">
        <f>IF(A84&lt;$B$6,1,0)</f>
        <v/>
      </c>
      <c r="W84" s="21">
        <f>IF(U84+V84&gt;0,1,0)</f>
        <v/>
      </c>
      <c r="X84" s="14">
        <f>U84*$B$7*O84+SUMPRODUCT(($B$72:$B$77=A84)*($D$72:$D$77="Wages: person 1")*$C$72:$C$77)*O84</f>
        <v/>
      </c>
      <c r="Y84" s="14">
        <f>V84*$B$8*O84+SUMPRODUCT(($B$72:$B$77=A84)*($D$72:$D$77="Wages: person 2")*$C$72:$C$77)*O84</f>
        <v/>
      </c>
      <c r="Z84" s="14">
        <f>U84*$B$9*O84</f>
        <v/>
      </c>
      <c r="AA84" s="14">
        <f>V84*$B$10*O84</f>
        <v/>
      </c>
      <c r="AB84" s="14">
        <f>U84*$B$11*O84</f>
        <v/>
      </c>
      <c r="AC84" s="14">
        <f>V84*$B$12*O84</f>
        <v/>
      </c>
      <c r="AD84" s="14">
        <f>X84+Y84</f>
        <v/>
      </c>
      <c r="AE84" s="14">
        <f>AD84-Z84-AA84</f>
        <v/>
      </c>
      <c r="AF84" s="14">
        <f>tax_tables!$B$25*MAX(0,MIN(X84,tax_tables!$B$27*P84)-tax_tables!$B$26)+tax_tables!$B$28*MAX(0,MIN(X84,tax_tables!$B$29*P84)-tax_tables!$B$27*P84)+tax_tables!$B$30*MIN(X84,tax_tables!$B$31*P84)</f>
        <v/>
      </c>
      <c r="AG84" s="14">
        <f>tax_tables!$B$25*MAX(0,MIN(Y84,tax_tables!$B$27*P84)-tax_tables!$B$26)+tax_tables!$B$28*MAX(0,MIN(Y84,tax_tables!$B$29*P84)-tax_tables!$B$27*P84)+tax_tables!$B$30*MIN(Y84,tax_tables!$B$31*P84)</f>
        <v/>
      </c>
      <c r="AH84" s="14">
        <f>AF84+AG84</f>
        <v/>
      </c>
      <c r="AI84" s="14">
        <f>$B$13*AE84</f>
        <v/>
      </c>
      <c r="AJ84" s="14">
        <f>AD84-Z84-AA84-AH84-AI84</f>
        <v/>
      </c>
      <c r="AK84" s="14">
        <f>SUMPRODUCT(($B$72:$B$77=A84)*($D$72:$D$77="Other taxable income")*$C$72:$C$77)*O84</f>
        <v/>
      </c>
      <c r="AL84" s="14">
        <f>SUMPRODUCT(($B$72:$B$77=A84)*($D$72:$D$77="Tax-free money in")*$C$72:$C$77)*O84</f>
        <v/>
      </c>
      <c r="AM84" s="14">
        <f>SUMPRODUCT(($B$72:$B$77=A84)*($D$72:$D$77="Expense")*$C$72:$C$77)*O84</f>
        <v/>
      </c>
      <c r="AN84" s="21">
        <f>IF(OR($B$64="",A84&lt;$B$64),1,0)</f>
        <v/>
      </c>
      <c r="AO84" s="14">
        <f>AR83</f>
        <v/>
      </c>
      <c r="AP84" s="14">
        <f>AN84*AO84*properties!$J$2</f>
        <v/>
      </c>
      <c r="AQ84" s="14">
        <f>AN84*MIN(properties!$K$2,AO84+AP84)</f>
        <v/>
      </c>
      <c r="AR84" s="14">
        <f>AN84*(AO84+AP84-AQ84)</f>
        <v/>
      </c>
      <c r="AS84" s="14">
        <f>AN84*properties!$G$2*O84</f>
        <v/>
      </c>
      <c r="AT84" s="14">
        <f>(1-AN84)*$E$64*O84</f>
        <v/>
      </c>
      <c r="AU84" s="14">
        <f>AQ84+AS84+AT84</f>
        <v/>
      </c>
      <c r="AV84" s="14">
        <f>SUMIF(budget!$A$2:$A$300,"household",budget!$F$2:$F$300)*O84*IF(N84="",1,N84)</f>
        <v/>
      </c>
      <c r="AW84" s="14">
        <f>SUMPRODUCT((other_budget!$C$2:$C$30&lt;=A84)*(other_budget!$D$2:$D$30&gt;=A84)*other_budget!$B$2:$B$30)*O84</f>
        <v/>
      </c>
      <c r="AX84" s="14">
        <f>SUMPRODUCT((kids_budget!$D$2:$D$40&lt;=A84)*(kids_budget!$E$2:$E$40&gt;=A84)*(kids_budget!$G$2:$G$40&lt;&gt;"college_funds")*kids_budget!$C$2:$C$40*((kids_budget!$F$2:$F$40="college")*S84+(kids_budget!$F$2:$F$40&lt;&gt;"college")*O84))</f>
        <v/>
      </c>
      <c r="AY84" s="14">
        <f>SUMPRODUCT((kids_budget!$D$2:$D$40&lt;=A84)*(kids_budget!$E$2:$E$40&gt;=A84)*(kids_budget!$G$2:$G$40="college_funds")*kids_budget!$C$2:$C$40*((kids_budget!$F$2:$F$40="college")*S84+(kids_budget!$F$2:$F$40&lt;&gt;"college")*O84))</f>
        <v/>
      </c>
      <c r="AZ84" s="14">
        <f>BC83</f>
        <v/>
      </c>
      <c r="BA84" s="14">
        <f>MIN(AY84,AZ84*(1+M84))</f>
        <v/>
      </c>
      <c r="BB84" s="14">
        <f>AY84-BA84</f>
        <v/>
      </c>
      <c r="BC84" s="14">
        <f>AZ84*(1+M84)-BA84</f>
        <v/>
      </c>
      <c r="BD84" s="14">
        <f>W84*healthcare!$B$2*R84</f>
        <v/>
      </c>
      <c r="BE84" s="21">
        <f>(1-W84)*2</f>
        <v/>
      </c>
      <c r="BF84" s="14">
        <f>BE84*healthcare!$B$3*12*R84</f>
        <v/>
      </c>
      <c r="BG84" s="14">
        <f>BE84*healthcare!$B$4*R84</f>
        <v/>
      </c>
      <c r="BH84" s="21">
        <f>AND(B84&gt;=$B$44,B84&lt;$B$44+$B$45)*1+AND(C84&gt;=$B$46,C84&lt;$B$46+$B$47)*1</f>
        <v/>
      </c>
      <c r="BI84" s="14">
        <f>BH84*$B$48*T84</f>
        <v/>
      </c>
      <c r="BJ84" s="14">
        <f>BD84+BF84+BG84+BI84</f>
        <v/>
      </c>
      <c r="BK84" s="14">
        <f>SUMPRODUCT((1-($B$65:$B$68&gt;0)*(A84&gt;=$B$65:$B$68))*(1-(($C$65:$C$68&gt;0)*(A84&gt;=$C$65:$C$68)))*(properties!$L$3:$L$6-properties!$M$3:$M$6))*O84+SUMPRODUCT((1-($B$65:$B$68&gt;0)*(A84&gt;=$B$65:$B$68))*(($C$65:$C$68&gt;0)*(A84&gt;=$C$65:$C$68))*($D$65:$D$68-$E$65:$E$68))*O84</f>
        <v/>
      </c>
      <c r="BL84" s="14">
        <f>SUMPRODUCT((1-($B$65:$B$68&gt;0)*(A84&gt;=$B$65:$B$68))*properties!$N$3:$N$6*(A84&lt;=properties!$O$3:$O$6))</f>
        <v/>
      </c>
      <c r="BM84" s="14">
        <f>MAX(0,BK84-BL84)</f>
        <v/>
      </c>
      <c r="BN84" s="14">
        <f>SUMPRODUCT(($B$64:$B$68=A84)*$G$64:$G$68)</f>
        <v/>
      </c>
      <c r="BO84" s="14">
        <f>SUMPRODUCT(($B$64:$B$68=A84)*$H$64:$H$68)</f>
        <v/>
      </c>
      <c r="BP84" s="14">
        <f>SUMPRODUCT(($B$64:$B$68=A84)*$I$64:$I$68)</f>
        <v/>
      </c>
      <c r="BQ84" s="14">
        <f>AN84*properties!$C$2*(1+properties!$D$2)^(A84-household!$B$4+1)</f>
        <v/>
      </c>
      <c r="BR84" s="14">
        <f>SUMPRODUCT((1-($B$65:$B$68&gt;0)*(A84&gt;=$B$65:$B$68))*properties!$C$3:$C$6*(1+properties!$D$3:$D$6)^(A84-household!$B$4+1))</f>
        <v/>
      </c>
      <c r="BS84" s="14">
        <f>IF(A84&gt;=household!$B$6+$B$26,household!$B$11*12*$B$30*O84,0)</f>
        <v/>
      </c>
      <c r="BT84" s="14">
        <f>IF(A84&gt;=household!$B$9+$B$27,household!$B$12*12*$B$31*O84,0)</f>
        <v/>
      </c>
      <c r="BU84" s="14">
        <f>IF(A84&gt;=household!$B$6+$B$28,tax_tables!$B$19*12*P84*MIN(1,household!$B$13/40)*$B$32*(1+tax_tables!$B$20*(B84&gt;=75)),0)</f>
        <v/>
      </c>
      <c r="BV84" s="14">
        <f>IF(A84&gt;=household!$B$9+$B$29,tax_tables!$B$19*12*P84*MIN(1,household!$B$14/40)*$B$33*(1+tax_tables!$B$20*(C84&gt;=75)),0)</f>
        <v/>
      </c>
      <c r="BW84" s="14">
        <f>IF(AND($B$36&lt;&gt;0,A84&gt;=household!$B$6+$B$37),$B$36*(1+$B$17)^(MAX(household!$B$6+$B$37,household!$B$4-1)-household!$B$4+1)*(1+$B$40*$B$17)^(A84-MAX(household!$B$6+$B$37,household!$B$4-1)),0)</f>
        <v/>
      </c>
      <c r="BX84" s="14">
        <f>IF(AND($B$38&lt;&gt;0,A84&gt;=household!$B$9+$B$39),$B$38*(1+$B$17)^(MAX(household!$B$9+$B$39,household!$B$4-1)-household!$B$4+1)*(1+$B$40*$B$17)^(A84-MAX(household!$B$9+$B$39,household!$B$4-1)),0)</f>
        <v/>
      </c>
      <c r="BY84" s="14">
        <f>CZ83</f>
        <v/>
      </c>
      <c r="BZ84" s="14">
        <f>DA83</f>
        <v/>
      </c>
      <c r="CA84" s="14">
        <f>$B$19*BY84</f>
        <v/>
      </c>
      <c r="CB84" s="14">
        <f>DB83</f>
        <v/>
      </c>
      <c r="CC84" s="14">
        <f>DC83</f>
        <v/>
      </c>
      <c r="CD84" s="14">
        <f>IF(B84&gt;=tax_tables!$B$46,MAX(0,CB84)*INDEX(tax_tables!$N$5:$N$54,MATCH(MIN(B84-1,120),tax_tables!$M$5:$M$54,0)),0)</f>
        <v/>
      </c>
      <c r="CE84" s="14">
        <f>IF(C84&gt;=tax_tables!$B$46,MAX(0,CC84)*INDEX(tax_tables!$N$5:$N$54,MATCH(MIN(C84-1,120),tax_tables!$M$5:$M$54,0)),0)</f>
        <v/>
      </c>
      <c r="CF84" s="14">
        <f>DD83</f>
        <v/>
      </c>
      <c r="CG84" s="14">
        <f>IF(OR($B$52="",$B$53=""),0,IF(AND(A84&gt;=$B$52,A84&lt;=$B$53),$B$51*O84,0))</f>
        <v/>
      </c>
      <c r="CH84" s="14">
        <f>MAX(0,CB84*(1+M84)-CD84)</f>
        <v/>
      </c>
      <c r="CI84" s="14">
        <f>MAX(0,CC84*(1+M84)-CE84)</f>
        <v/>
      </c>
      <c r="CJ84" s="14">
        <f>MIN(CG84,CH84+CI84)</f>
        <v/>
      </c>
      <c r="CK84" s="14">
        <f>IF(CH84+CI84&gt;1,CJ84*CH84/(CH84+CI84),0)</f>
        <v/>
      </c>
      <c r="CL84" s="14">
        <f>CJ84-CK84</f>
        <v/>
      </c>
      <c r="CM84" s="14">
        <f>CM83-CW83+CU83+tax_tables!$B$32*P84*2</f>
        <v/>
      </c>
      <c r="CN84" s="14">
        <f>EC83-AI83</f>
        <v/>
      </c>
      <c r="CO84" s="14">
        <f>AJ84+F84+BW84+BX84+BK84+CA84+CD84+CE84+BN84+AK84+AL84+CJ84</f>
        <v/>
      </c>
      <c r="CP84" s="14">
        <f>D84+CN84-CO84</f>
        <v/>
      </c>
      <c r="CQ84" s="14">
        <f>MAX(0,MIN(CP84,BY84*(1+M84-$B$19)))</f>
        <v/>
      </c>
      <c r="CR84" s="14">
        <f>MAX(0,MIN(CP84-CQ84,(CH84-CK84)+(CI84-CL84)))</f>
        <v/>
      </c>
      <c r="CS84" s="14">
        <f>IF((CH84-CK84)+(CI84-CL84)&gt;1,CR84*(CH84-CK84)/((CH84-CK84)+(CI84-CL84)),0)</f>
        <v/>
      </c>
      <c r="CT84" s="14">
        <f>CR84-CS84</f>
        <v/>
      </c>
      <c r="CU84" s="14">
        <f>MAX(0,MIN(CP84-CQ84-CR84,CF84*(1+M84)))</f>
        <v/>
      </c>
      <c r="CV84" s="14">
        <f>MAX(0,-CP84)</f>
        <v/>
      </c>
      <c r="CW84" s="14">
        <f>MIN(CV84,MAX(0,CM84))</f>
        <v/>
      </c>
      <c r="CX84" s="22">
        <f>IF(BY84&gt;0,MAX(0,1-BZ84/BY84),0)</f>
        <v/>
      </c>
      <c r="CY84" s="14">
        <f>CQ84*CX84</f>
        <v/>
      </c>
      <c r="CZ84" s="14">
        <f>BY84*(1+M84-$B$19)-CQ84+(CV84-CW84)</f>
        <v/>
      </c>
      <c r="DA84" s="14">
        <f>BZ84-(CQ84-CY84)+(CV84-CW84)</f>
        <v/>
      </c>
      <c r="DB84" s="14">
        <f>CB84*(1+M84)-CD84-CS84-CK84+Z84+AB84</f>
        <v/>
      </c>
      <c r="DC84" s="14">
        <f>CC84*(1+M84)-CE84-CT84-CL84+AA84+AC84</f>
        <v/>
      </c>
      <c r="DD84" s="14">
        <f>CF84*(1+M84)-CU84+CW84</f>
        <v/>
      </c>
      <c r="DE84" s="14">
        <f>CD84+CK84+CS84</f>
        <v/>
      </c>
      <c r="DF84" s="14">
        <f>CA84*household!$B$15*$B$20*(1+tax_tables!$B$17)</f>
        <v/>
      </c>
      <c r="DG84" s="14">
        <f>X84+BS84+BU84+BW84+DE84+DF84+CA84*household!$B$15*(1-$B$20)+(CY84+BO84)*household!$B$15*tax_tables!$B$18+(BP84+BM84+AK84)*household!$B$15-Z84</f>
        <v/>
      </c>
      <c r="DH84" s="14">
        <f>CE84+CL84+CT84</f>
        <v/>
      </c>
      <c r="DI84" s="14">
        <f>CA84*(1-household!$B$15)*$B$20*(1+tax_tables!$B$17)</f>
        <v/>
      </c>
      <c r="DJ84" s="14">
        <f>Y84+BT84+BV84+BX84+DH84+DI84+CA84*(1-household!$B$15)*(1-$B$20)+(CY84+BO84)*(1-household!$B$15)*tax_tables!$B$18+(BP84+BM84+AK84)*(1-household!$B$15)-AA84</f>
        <v/>
      </c>
      <c r="DK84" s="14">
        <f>IF((DG84&gt;=DJ84),MIN(0.5*(BW84+IF(B84&gt;=65,DE84,0)),MAX(0,(DG84-DJ84)/2)),MIN(0.5*(BX84+IF(C84&gt;=65,DH84,0)),MAX(0,(DJ84-DG84)/2)))</f>
        <v/>
      </c>
      <c r="DL84" s="14">
        <f>DG84+IF((DG84&gt;=DJ84),-DK84,DK84)</f>
        <v/>
      </c>
      <c r="DM84" s="14">
        <f>BW84+IF(B84&gt;=65,DE84,0)+IF((DG84&gt;=DJ84),-DK84,DK84)</f>
        <v/>
      </c>
      <c r="DN84" s="14">
        <f>MIN(BU84,tax_tables!$B$22*MAX(0,DL84-tax_tables!$B$21*P84))</f>
        <v/>
      </c>
      <c r="DO84" s="14">
        <f>MAX(0,DL84-DN84)</f>
        <v/>
      </c>
      <c r="DP84" s="14">
        <f>DJ84+IF((DG84&gt;=DJ84),DK84,-DK84)</f>
        <v/>
      </c>
      <c r="DQ84" s="14">
        <f>BX84+IF(C84&gt;=65,DH84,0)+IF((DG84&gt;=DJ84),DK84,-DK84)</f>
        <v/>
      </c>
      <c r="DR84" s="14">
        <f>MIN(BV84,tax_tables!$B$22*MAX(0,DP84-tax_tables!$B$21*P84))</f>
        <v/>
      </c>
      <c r="DS84" s="14">
        <f>MAX(0,DP84-DR84)</f>
        <v/>
      </c>
      <c r="DT84" s="14">
        <f>BJ84-BD84</f>
        <v/>
      </c>
      <c r="DU84" s="14">
        <f>(tax_tables!$B$6-(tax_tables!$B$6-tax_tables!$B$7)*MIN(1,MAX(0,(DL84-tax_tables!$B$8*P84)/((tax_tables!$B$9-tax_tables!$B$8)*P84))))*P84+(B84&gt;=65)*MAX(0,tax_tables!$B$10*P84-tax_tables!$B$12*MAX(0,DL84-tax_tables!$B$11*P84))+MIN(tax_tables!$B$13,DM84)+MIN(tax_tables!$B$14*P84,X84)+AF84+(DL84&lt;=DP84)*MAX(0,DT84-MIN(0.03*DL84,tax_tables!$B$15*P84))</f>
        <v/>
      </c>
      <c r="DV84" s="14">
        <f>MAX(0,SUMPRODUCT((DO84&gt;tax_tables!$E$5:$E$16*P84)*(DO84-tax_tables!$E$5:$E$16*P84)*tax_tables!$G$5:$G$16)-tax_tables!$B$5*DU84-tax_tables!$B$16*DF84)</f>
        <v/>
      </c>
      <c r="DW84" s="14">
        <f>tax_tables!$B$35*Q84+(B84&gt;=65)*MAX(0,tax_tables!$B$36*Q84-tax_tables!$B$12*MAX(0,DL84-tax_tables!$B$37*Q84))+MIN(tax_tables!$B$38,DM84)+AF84+(DL84&lt;=DP84)*MAX(0,DT84-MIN(0.03*DL84,tax_tables!$B$39*Q84))</f>
        <v/>
      </c>
      <c r="DX84" s="14">
        <f>MAX(0,SUMPRODUCT((DO84&gt;tax_tables!$I$5:$I$16*Q84)*(DO84-tax_tables!$I$5:$I$16*Q84)*tax_tables!$K$5:$K$16)-tax_tables!$B$34*DW84-tax_tables!$B$40*DF84-MAX(0,tax_tables!$B$41*Q84-tax_tables!$B$43*MAX(0,DL84-tax_tables!$B$42*Q84)))</f>
        <v/>
      </c>
      <c r="DY84" s="14">
        <f>(tax_tables!$B$6-(tax_tables!$B$6-tax_tables!$B$7)*MIN(1,MAX(0,(DP84-tax_tables!$B$8*P84)/((tax_tables!$B$9-tax_tables!$B$8)*P84))))*P84+(C84&gt;=65)*MAX(0,tax_tables!$B$10*P84-tax_tables!$B$12*MAX(0,DP84-tax_tables!$B$11*P84))+MIN(tax_tables!$B$13,DQ84)+MIN(tax_tables!$B$14*P84,Y84)+AG84+(DL84&gt;DP84)*MAX(0,DT84-MIN(0.03*DP84,tax_tables!$B$15*P84))</f>
        <v/>
      </c>
      <c r="DZ84" s="14">
        <f>MAX(0,SUMPRODUCT((DS84&gt;tax_tables!$E$5:$E$16*P84)*(DS84-tax_tables!$E$5:$E$16*P84)*tax_tables!$G$5:$G$16)-tax_tables!$B$5*DY84-tax_tables!$B$16*DI84)</f>
        <v/>
      </c>
      <c r="EA84" s="14">
        <f>tax_tables!$B$35*Q84+(C84&gt;=65)*MAX(0,tax_tables!$B$36*Q84-tax_tables!$B$12*MAX(0,DP84-tax_tables!$B$37*Q84))+MIN(tax_tables!$B$38,DQ84)+AG84+(DL84&gt;DP84)*MAX(0,DT84-MIN(0.03*DP84,tax_tables!$B$39*Q84))</f>
        <v/>
      </c>
      <c r="EB84" s="14">
        <f>MAX(0,SUMPRODUCT((DS84&gt;tax_tables!$I$5:$I$16*Q84)*(DS84-tax_tables!$I$5:$I$16*Q84)*tax_tables!$K$5:$K$16)-tax_tables!$B$34*EA84-tax_tables!$B$40*DI84-MAX(0,tax_tables!$B$41*Q84-tax_tables!$B$43*MAX(0,DP84-tax_tables!$B$42*Q84)))</f>
        <v/>
      </c>
      <c r="EC84" s="14">
        <f>DV84+DZ84+DX84+EB84+DN84+DR84</f>
        <v/>
      </c>
      <c r="ED84" s="14">
        <f>CZ84+DB84+DC84+DD84</f>
        <v/>
      </c>
      <c r="EE84" s="14">
        <f>ED84+BQ84-AR84+BR84</f>
        <v/>
      </c>
    </row>
    <row r="85">
      <c r="A85" s="21">
        <f>A84+1</f>
        <v/>
      </c>
      <c r="B85" s="21">
        <f>A85-household!$B$6</f>
        <v/>
      </c>
      <c r="C85" s="21">
        <f>A85-household!$B$9</f>
        <v/>
      </c>
      <c r="D85" s="14">
        <f>AU85+AV85+AW85+AX85+BB85+BJ85+AM85</f>
        <v/>
      </c>
      <c r="E85" s="14">
        <f>CN85+AI85+AH85</f>
        <v/>
      </c>
      <c r="F85" s="14">
        <f>BS85+BT85+BU85+BV85</f>
        <v/>
      </c>
      <c r="G85" s="14">
        <f>CQ85+CR85+CU85+CD85+CE85+CA85-CV85+CJ85+CW85</f>
        <v/>
      </c>
      <c r="H85" s="22">
        <f>IF(BY85+CB85+CC85+CF85&lt;=0,"",G85/(BY85+CB85+CC85+CF85))</f>
        <v/>
      </c>
      <c r="I85" s="23">
        <f>ED85/O85</f>
        <v/>
      </c>
      <c r="J85" s="23">
        <f>EE85/O85</f>
        <v/>
      </c>
      <c r="K85" s="14">
        <f>MAX(0,CP85-CQ85-CR85-CU85)</f>
        <v/>
      </c>
      <c r="L85" s="10" t="n"/>
      <c r="M85" s="22">
        <f>IF(L85="",$B$18,L85)</f>
        <v/>
      </c>
      <c r="N85" s="13" t="n"/>
      <c r="O85" s="12">
        <f>(1+$B$17)^(A85-household!$B$4+1)</f>
        <v/>
      </c>
      <c r="P85" s="12">
        <f>(1+$B$17)^(A85-tax_tables!$B$4)</f>
        <v/>
      </c>
      <c r="Q85" s="12">
        <f>(1+$B$17)^(A85-tax_tables!$B$4-MAX(0,MIN(A85,tax_tables!$B$45)-tax_tables!$B$44+1))</f>
        <v/>
      </c>
      <c r="R85" s="12">
        <f>(1+$B$21)^(A85-household!$B$4+1)</f>
        <v/>
      </c>
      <c r="S85" s="12">
        <f>(1+$B$22)^(A85-household!$B$4+1)</f>
        <v/>
      </c>
      <c r="T85" s="12">
        <f>(1+$B$23)^(A85-household!$B$4+1)</f>
        <v/>
      </c>
      <c r="U85" s="21">
        <f>IF(A85&lt;$B$5,1,0)</f>
        <v/>
      </c>
      <c r="V85" s="21">
        <f>IF(A85&lt;$B$6,1,0)</f>
        <v/>
      </c>
      <c r="W85" s="21">
        <f>IF(U85+V85&gt;0,1,0)</f>
        <v/>
      </c>
      <c r="X85" s="14">
        <f>U85*$B$7*O85+SUMPRODUCT(($B$72:$B$77=A85)*($D$72:$D$77="Wages: person 1")*$C$72:$C$77)*O85</f>
        <v/>
      </c>
      <c r="Y85" s="14">
        <f>V85*$B$8*O85+SUMPRODUCT(($B$72:$B$77=A85)*($D$72:$D$77="Wages: person 2")*$C$72:$C$77)*O85</f>
        <v/>
      </c>
      <c r="Z85" s="14">
        <f>U85*$B$9*O85</f>
        <v/>
      </c>
      <c r="AA85" s="14">
        <f>V85*$B$10*O85</f>
        <v/>
      </c>
      <c r="AB85" s="14">
        <f>U85*$B$11*O85</f>
        <v/>
      </c>
      <c r="AC85" s="14">
        <f>V85*$B$12*O85</f>
        <v/>
      </c>
      <c r="AD85" s="14">
        <f>X85+Y85</f>
        <v/>
      </c>
      <c r="AE85" s="14">
        <f>AD85-Z85-AA85</f>
        <v/>
      </c>
      <c r="AF85" s="14">
        <f>tax_tables!$B$25*MAX(0,MIN(X85,tax_tables!$B$27*P85)-tax_tables!$B$26)+tax_tables!$B$28*MAX(0,MIN(X85,tax_tables!$B$29*P85)-tax_tables!$B$27*P85)+tax_tables!$B$30*MIN(X85,tax_tables!$B$31*P85)</f>
        <v/>
      </c>
      <c r="AG85" s="14">
        <f>tax_tables!$B$25*MAX(0,MIN(Y85,tax_tables!$B$27*P85)-tax_tables!$B$26)+tax_tables!$B$28*MAX(0,MIN(Y85,tax_tables!$B$29*P85)-tax_tables!$B$27*P85)+tax_tables!$B$30*MIN(Y85,tax_tables!$B$31*P85)</f>
        <v/>
      </c>
      <c r="AH85" s="14">
        <f>AF85+AG85</f>
        <v/>
      </c>
      <c r="AI85" s="14">
        <f>$B$13*AE85</f>
        <v/>
      </c>
      <c r="AJ85" s="14">
        <f>AD85-Z85-AA85-AH85-AI85</f>
        <v/>
      </c>
      <c r="AK85" s="14">
        <f>SUMPRODUCT(($B$72:$B$77=A85)*($D$72:$D$77="Other taxable income")*$C$72:$C$77)*O85</f>
        <v/>
      </c>
      <c r="AL85" s="14">
        <f>SUMPRODUCT(($B$72:$B$77=A85)*($D$72:$D$77="Tax-free money in")*$C$72:$C$77)*O85</f>
        <v/>
      </c>
      <c r="AM85" s="14">
        <f>SUMPRODUCT(($B$72:$B$77=A85)*($D$72:$D$77="Expense")*$C$72:$C$77)*O85</f>
        <v/>
      </c>
      <c r="AN85" s="21">
        <f>IF(OR($B$64="",A85&lt;$B$64),1,0)</f>
        <v/>
      </c>
      <c r="AO85" s="14">
        <f>AR84</f>
        <v/>
      </c>
      <c r="AP85" s="14">
        <f>AN85*AO85*properties!$J$2</f>
        <v/>
      </c>
      <c r="AQ85" s="14">
        <f>AN85*MIN(properties!$K$2,AO85+AP85)</f>
        <v/>
      </c>
      <c r="AR85" s="14">
        <f>AN85*(AO85+AP85-AQ85)</f>
        <v/>
      </c>
      <c r="AS85" s="14">
        <f>AN85*properties!$G$2*O85</f>
        <v/>
      </c>
      <c r="AT85" s="14">
        <f>(1-AN85)*$E$64*O85</f>
        <v/>
      </c>
      <c r="AU85" s="14">
        <f>AQ85+AS85+AT85</f>
        <v/>
      </c>
      <c r="AV85" s="14">
        <f>SUMIF(budget!$A$2:$A$300,"household",budget!$F$2:$F$300)*O85*IF(N85="",1,N85)</f>
        <v/>
      </c>
      <c r="AW85" s="14">
        <f>SUMPRODUCT((other_budget!$C$2:$C$30&lt;=A85)*(other_budget!$D$2:$D$30&gt;=A85)*other_budget!$B$2:$B$30)*O85</f>
        <v/>
      </c>
      <c r="AX85" s="14">
        <f>SUMPRODUCT((kids_budget!$D$2:$D$40&lt;=A85)*(kids_budget!$E$2:$E$40&gt;=A85)*(kids_budget!$G$2:$G$40&lt;&gt;"college_funds")*kids_budget!$C$2:$C$40*((kids_budget!$F$2:$F$40="college")*S85+(kids_budget!$F$2:$F$40&lt;&gt;"college")*O85))</f>
        <v/>
      </c>
      <c r="AY85" s="14">
        <f>SUMPRODUCT((kids_budget!$D$2:$D$40&lt;=A85)*(kids_budget!$E$2:$E$40&gt;=A85)*(kids_budget!$G$2:$G$40="college_funds")*kids_budget!$C$2:$C$40*((kids_budget!$F$2:$F$40="college")*S85+(kids_budget!$F$2:$F$40&lt;&gt;"college")*O85))</f>
        <v/>
      </c>
      <c r="AZ85" s="14">
        <f>BC84</f>
        <v/>
      </c>
      <c r="BA85" s="14">
        <f>MIN(AY85,AZ85*(1+M85))</f>
        <v/>
      </c>
      <c r="BB85" s="14">
        <f>AY85-BA85</f>
        <v/>
      </c>
      <c r="BC85" s="14">
        <f>AZ85*(1+M85)-BA85</f>
        <v/>
      </c>
      <c r="BD85" s="14">
        <f>W85*healthcare!$B$2*R85</f>
        <v/>
      </c>
      <c r="BE85" s="21">
        <f>(1-W85)*2</f>
        <v/>
      </c>
      <c r="BF85" s="14">
        <f>BE85*healthcare!$B$3*12*R85</f>
        <v/>
      </c>
      <c r="BG85" s="14">
        <f>BE85*healthcare!$B$4*R85</f>
        <v/>
      </c>
      <c r="BH85" s="21">
        <f>AND(B85&gt;=$B$44,B85&lt;$B$44+$B$45)*1+AND(C85&gt;=$B$46,C85&lt;$B$46+$B$47)*1</f>
        <v/>
      </c>
      <c r="BI85" s="14">
        <f>BH85*$B$48*T85</f>
        <v/>
      </c>
      <c r="BJ85" s="14">
        <f>BD85+BF85+BG85+BI85</f>
        <v/>
      </c>
      <c r="BK85" s="14">
        <f>SUMPRODUCT((1-($B$65:$B$68&gt;0)*(A85&gt;=$B$65:$B$68))*(1-(($C$65:$C$68&gt;0)*(A85&gt;=$C$65:$C$68)))*(properties!$L$3:$L$6-properties!$M$3:$M$6))*O85+SUMPRODUCT((1-($B$65:$B$68&gt;0)*(A85&gt;=$B$65:$B$68))*(($C$65:$C$68&gt;0)*(A85&gt;=$C$65:$C$68))*($D$65:$D$68-$E$65:$E$68))*O85</f>
        <v/>
      </c>
      <c r="BL85" s="14">
        <f>SUMPRODUCT((1-($B$65:$B$68&gt;0)*(A85&gt;=$B$65:$B$68))*properties!$N$3:$N$6*(A85&lt;=properties!$O$3:$O$6))</f>
        <v/>
      </c>
      <c r="BM85" s="14">
        <f>MAX(0,BK85-BL85)</f>
        <v/>
      </c>
      <c r="BN85" s="14">
        <f>SUMPRODUCT(($B$64:$B$68=A85)*$G$64:$G$68)</f>
        <v/>
      </c>
      <c r="BO85" s="14">
        <f>SUMPRODUCT(($B$64:$B$68=A85)*$H$64:$H$68)</f>
        <v/>
      </c>
      <c r="BP85" s="14">
        <f>SUMPRODUCT(($B$64:$B$68=A85)*$I$64:$I$68)</f>
        <v/>
      </c>
      <c r="BQ85" s="14">
        <f>AN85*properties!$C$2*(1+properties!$D$2)^(A85-household!$B$4+1)</f>
        <v/>
      </c>
      <c r="BR85" s="14">
        <f>SUMPRODUCT((1-($B$65:$B$68&gt;0)*(A85&gt;=$B$65:$B$68))*properties!$C$3:$C$6*(1+properties!$D$3:$D$6)^(A85-household!$B$4+1))</f>
        <v/>
      </c>
      <c r="BS85" s="14">
        <f>IF(A85&gt;=household!$B$6+$B$26,household!$B$11*12*$B$30*O85,0)</f>
        <v/>
      </c>
      <c r="BT85" s="14">
        <f>IF(A85&gt;=household!$B$9+$B$27,household!$B$12*12*$B$31*O85,0)</f>
        <v/>
      </c>
      <c r="BU85" s="14">
        <f>IF(A85&gt;=household!$B$6+$B$28,tax_tables!$B$19*12*P85*MIN(1,household!$B$13/40)*$B$32*(1+tax_tables!$B$20*(B85&gt;=75)),0)</f>
        <v/>
      </c>
      <c r="BV85" s="14">
        <f>IF(A85&gt;=household!$B$9+$B$29,tax_tables!$B$19*12*P85*MIN(1,household!$B$14/40)*$B$33*(1+tax_tables!$B$20*(C85&gt;=75)),0)</f>
        <v/>
      </c>
      <c r="BW85" s="14">
        <f>IF(AND($B$36&lt;&gt;0,A85&gt;=household!$B$6+$B$37),$B$36*(1+$B$17)^(MAX(household!$B$6+$B$37,household!$B$4-1)-household!$B$4+1)*(1+$B$40*$B$17)^(A85-MAX(household!$B$6+$B$37,household!$B$4-1)),0)</f>
        <v/>
      </c>
      <c r="BX85" s="14">
        <f>IF(AND($B$38&lt;&gt;0,A85&gt;=household!$B$9+$B$39),$B$38*(1+$B$17)^(MAX(household!$B$9+$B$39,household!$B$4-1)-household!$B$4+1)*(1+$B$40*$B$17)^(A85-MAX(household!$B$9+$B$39,household!$B$4-1)),0)</f>
        <v/>
      </c>
      <c r="BY85" s="14">
        <f>CZ84</f>
        <v/>
      </c>
      <c r="BZ85" s="14">
        <f>DA84</f>
        <v/>
      </c>
      <c r="CA85" s="14">
        <f>$B$19*BY85</f>
        <v/>
      </c>
      <c r="CB85" s="14">
        <f>DB84</f>
        <v/>
      </c>
      <c r="CC85" s="14">
        <f>DC84</f>
        <v/>
      </c>
      <c r="CD85" s="14">
        <f>IF(B85&gt;=tax_tables!$B$46,MAX(0,CB85)*INDEX(tax_tables!$N$5:$N$54,MATCH(MIN(B85-1,120),tax_tables!$M$5:$M$54,0)),0)</f>
        <v/>
      </c>
      <c r="CE85" s="14">
        <f>IF(C85&gt;=tax_tables!$B$46,MAX(0,CC85)*INDEX(tax_tables!$N$5:$N$54,MATCH(MIN(C85-1,120),tax_tables!$M$5:$M$54,0)),0)</f>
        <v/>
      </c>
      <c r="CF85" s="14">
        <f>DD84</f>
        <v/>
      </c>
      <c r="CG85" s="14">
        <f>IF(OR($B$52="",$B$53=""),0,IF(AND(A85&gt;=$B$52,A85&lt;=$B$53),$B$51*O85,0))</f>
        <v/>
      </c>
      <c r="CH85" s="14">
        <f>MAX(0,CB85*(1+M85)-CD85)</f>
        <v/>
      </c>
      <c r="CI85" s="14">
        <f>MAX(0,CC85*(1+M85)-CE85)</f>
        <v/>
      </c>
      <c r="CJ85" s="14">
        <f>MIN(CG85,CH85+CI85)</f>
        <v/>
      </c>
      <c r="CK85" s="14">
        <f>IF(CH85+CI85&gt;1,CJ85*CH85/(CH85+CI85),0)</f>
        <v/>
      </c>
      <c r="CL85" s="14">
        <f>CJ85-CK85</f>
        <v/>
      </c>
      <c r="CM85" s="14">
        <f>CM84-CW84+CU84+tax_tables!$B$32*P85*2</f>
        <v/>
      </c>
      <c r="CN85" s="14">
        <f>EC84-AI84</f>
        <v/>
      </c>
      <c r="CO85" s="14">
        <f>AJ85+F85+BW85+BX85+BK85+CA85+CD85+CE85+BN85+AK85+AL85+CJ85</f>
        <v/>
      </c>
      <c r="CP85" s="14">
        <f>D85+CN85-CO85</f>
        <v/>
      </c>
      <c r="CQ85" s="14">
        <f>MAX(0,MIN(CP85,BY85*(1+M85-$B$19)))</f>
        <v/>
      </c>
      <c r="CR85" s="14">
        <f>MAX(0,MIN(CP85-CQ85,(CH85-CK85)+(CI85-CL85)))</f>
        <v/>
      </c>
      <c r="CS85" s="14">
        <f>IF((CH85-CK85)+(CI85-CL85)&gt;1,CR85*(CH85-CK85)/((CH85-CK85)+(CI85-CL85)),0)</f>
        <v/>
      </c>
      <c r="CT85" s="14">
        <f>CR85-CS85</f>
        <v/>
      </c>
      <c r="CU85" s="14">
        <f>MAX(0,MIN(CP85-CQ85-CR85,CF85*(1+M85)))</f>
        <v/>
      </c>
      <c r="CV85" s="14">
        <f>MAX(0,-CP85)</f>
        <v/>
      </c>
      <c r="CW85" s="14">
        <f>MIN(CV85,MAX(0,CM85))</f>
        <v/>
      </c>
      <c r="CX85" s="22">
        <f>IF(BY85&gt;0,MAX(0,1-BZ85/BY85),0)</f>
        <v/>
      </c>
      <c r="CY85" s="14">
        <f>CQ85*CX85</f>
        <v/>
      </c>
      <c r="CZ85" s="14">
        <f>BY85*(1+M85-$B$19)-CQ85+(CV85-CW85)</f>
        <v/>
      </c>
      <c r="DA85" s="14">
        <f>BZ85-(CQ85-CY85)+(CV85-CW85)</f>
        <v/>
      </c>
      <c r="DB85" s="14">
        <f>CB85*(1+M85)-CD85-CS85-CK85+Z85+AB85</f>
        <v/>
      </c>
      <c r="DC85" s="14">
        <f>CC85*(1+M85)-CE85-CT85-CL85+AA85+AC85</f>
        <v/>
      </c>
      <c r="DD85" s="14">
        <f>CF85*(1+M85)-CU85+CW85</f>
        <v/>
      </c>
      <c r="DE85" s="14">
        <f>CD85+CK85+CS85</f>
        <v/>
      </c>
      <c r="DF85" s="14">
        <f>CA85*household!$B$15*$B$20*(1+tax_tables!$B$17)</f>
        <v/>
      </c>
      <c r="DG85" s="14">
        <f>X85+BS85+BU85+BW85+DE85+DF85+CA85*household!$B$15*(1-$B$20)+(CY85+BO85)*household!$B$15*tax_tables!$B$18+(BP85+BM85+AK85)*household!$B$15-Z85</f>
        <v/>
      </c>
      <c r="DH85" s="14">
        <f>CE85+CL85+CT85</f>
        <v/>
      </c>
      <c r="DI85" s="14">
        <f>CA85*(1-household!$B$15)*$B$20*(1+tax_tables!$B$17)</f>
        <v/>
      </c>
      <c r="DJ85" s="14">
        <f>Y85+BT85+BV85+BX85+DH85+DI85+CA85*(1-household!$B$15)*(1-$B$20)+(CY85+BO85)*(1-household!$B$15)*tax_tables!$B$18+(BP85+BM85+AK85)*(1-household!$B$15)-AA85</f>
        <v/>
      </c>
      <c r="DK85" s="14">
        <f>IF((DG85&gt;=DJ85),MIN(0.5*(BW85+IF(B85&gt;=65,DE85,0)),MAX(0,(DG85-DJ85)/2)),MIN(0.5*(BX85+IF(C85&gt;=65,DH85,0)),MAX(0,(DJ85-DG85)/2)))</f>
        <v/>
      </c>
      <c r="DL85" s="14">
        <f>DG85+IF((DG85&gt;=DJ85),-DK85,DK85)</f>
        <v/>
      </c>
      <c r="DM85" s="14">
        <f>BW85+IF(B85&gt;=65,DE85,0)+IF((DG85&gt;=DJ85),-DK85,DK85)</f>
        <v/>
      </c>
      <c r="DN85" s="14">
        <f>MIN(BU85,tax_tables!$B$22*MAX(0,DL85-tax_tables!$B$21*P85))</f>
        <v/>
      </c>
      <c r="DO85" s="14">
        <f>MAX(0,DL85-DN85)</f>
        <v/>
      </c>
      <c r="DP85" s="14">
        <f>DJ85+IF((DG85&gt;=DJ85),DK85,-DK85)</f>
        <v/>
      </c>
      <c r="DQ85" s="14">
        <f>BX85+IF(C85&gt;=65,DH85,0)+IF((DG85&gt;=DJ85),DK85,-DK85)</f>
        <v/>
      </c>
      <c r="DR85" s="14">
        <f>MIN(BV85,tax_tables!$B$22*MAX(0,DP85-tax_tables!$B$21*P85))</f>
        <v/>
      </c>
      <c r="DS85" s="14">
        <f>MAX(0,DP85-DR85)</f>
        <v/>
      </c>
      <c r="DT85" s="14">
        <f>BJ85-BD85</f>
        <v/>
      </c>
      <c r="DU85" s="14">
        <f>(tax_tables!$B$6-(tax_tables!$B$6-tax_tables!$B$7)*MIN(1,MAX(0,(DL85-tax_tables!$B$8*P85)/((tax_tables!$B$9-tax_tables!$B$8)*P85))))*P85+(B85&gt;=65)*MAX(0,tax_tables!$B$10*P85-tax_tables!$B$12*MAX(0,DL85-tax_tables!$B$11*P85))+MIN(tax_tables!$B$13,DM85)+MIN(tax_tables!$B$14*P85,X85)+AF85+(DL85&lt;=DP85)*MAX(0,DT85-MIN(0.03*DL85,tax_tables!$B$15*P85))</f>
        <v/>
      </c>
      <c r="DV85" s="14">
        <f>MAX(0,SUMPRODUCT((DO85&gt;tax_tables!$E$5:$E$16*P85)*(DO85-tax_tables!$E$5:$E$16*P85)*tax_tables!$G$5:$G$16)-tax_tables!$B$5*DU85-tax_tables!$B$16*DF85)</f>
        <v/>
      </c>
      <c r="DW85" s="14">
        <f>tax_tables!$B$35*Q85+(B85&gt;=65)*MAX(0,tax_tables!$B$36*Q85-tax_tables!$B$12*MAX(0,DL85-tax_tables!$B$37*Q85))+MIN(tax_tables!$B$38,DM85)+AF85+(DL85&lt;=DP85)*MAX(0,DT85-MIN(0.03*DL85,tax_tables!$B$39*Q85))</f>
        <v/>
      </c>
      <c r="DX85" s="14">
        <f>MAX(0,SUMPRODUCT((DO85&gt;tax_tables!$I$5:$I$16*Q85)*(DO85-tax_tables!$I$5:$I$16*Q85)*tax_tables!$K$5:$K$16)-tax_tables!$B$34*DW85-tax_tables!$B$40*DF85-MAX(0,tax_tables!$B$41*Q85-tax_tables!$B$43*MAX(0,DL85-tax_tables!$B$42*Q85)))</f>
        <v/>
      </c>
      <c r="DY85" s="14">
        <f>(tax_tables!$B$6-(tax_tables!$B$6-tax_tables!$B$7)*MIN(1,MAX(0,(DP85-tax_tables!$B$8*P85)/((tax_tables!$B$9-tax_tables!$B$8)*P85))))*P85+(C85&gt;=65)*MAX(0,tax_tables!$B$10*P85-tax_tables!$B$12*MAX(0,DP85-tax_tables!$B$11*P85))+MIN(tax_tables!$B$13,DQ85)+MIN(tax_tables!$B$14*P85,Y85)+AG85+(DL85&gt;DP85)*MAX(0,DT85-MIN(0.03*DP85,tax_tables!$B$15*P85))</f>
        <v/>
      </c>
      <c r="DZ85" s="14">
        <f>MAX(0,SUMPRODUCT((DS85&gt;tax_tables!$E$5:$E$16*P85)*(DS85-tax_tables!$E$5:$E$16*P85)*tax_tables!$G$5:$G$16)-tax_tables!$B$5*DY85-tax_tables!$B$16*DI85)</f>
        <v/>
      </c>
      <c r="EA85" s="14">
        <f>tax_tables!$B$35*Q85+(C85&gt;=65)*MAX(0,tax_tables!$B$36*Q85-tax_tables!$B$12*MAX(0,DP85-tax_tables!$B$37*Q85))+MIN(tax_tables!$B$38,DQ85)+AG85+(DL85&gt;DP85)*MAX(0,DT85-MIN(0.03*DP85,tax_tables!$B$39*Q85))</f>
        <v/>
      </c>
      <c r="EB85" s="14">
        <f>MAX(0,SUMPRODUCT((DS85&gt;tax_tables!$I$5:$I$16*Q85)*(DS85-tax_tables!$I$5:$I$16*Q85)*tax_tables!$K$5:$K$16)-tax_tables!$B$34*EA85-tax_tables!$B$40*DI85-MAX(0,tax_tables!$B$41*Q85-tax_tables!$B$43*MAX(0,DP85-tax_tables!$B$42*Q85)))</f>
        <v/>
      </c>
      <c r="EC85" s="14">
        <f>DV85+DZ85+DX85+EB85+DN85+DR85</f>
        <v/>
      </c>
      <c r="ED85" s="14">
        <f>CZ85+DB85+DC85+DD85</f>
        <v/>
      </c>
      <c r="EE85" s="14">
        <f>ED85+BQ85-AR85+BR85</f>
        <v/>
      </c>
    </row>
    <row r="86">
      <c r="A86" s="21">
        <f>A85+1</f>
        <v/>
      </c>
      <c r="B86" s="21">
        <f>A86-household!$B$6</f>
        <v/>
      </c>
      <c r="C86" s="21">
        <f>A86-household!$B$9</f>
        <v/>
      </c>
      <c r="D86" s="14">
        <f>AU86+AV86+AW86+AX86+BB86+BJ86+AM86</f>
        <v/>
      </c>
      <c r="E86" s="14">
        <f>CN86+AI86+AH86</f>
        <v/>
      </c>
      <c r="F86" s="14">
        <f>BS86+BT86+BU86+BV86</f>
        <v/>
      </c>
      <c r="G86" s="14">
        <f>CQ86+CR86+CU86+CD86+CE86+CA86-CV86+CJ86+CW86</f>
        <v/>
      </c>
      <c r="H86" s="22">
        <f>IF(BY86+CB86+CC86+CF86&lt;=0,"",G86/(BY86+CB86+CC86+CF86))</f>
        <v/>
      </c>
      <c r="I86" s="23">
        <f>ED86/O86</f>
        <v/>
      </c>
      <c r="J86" s="23">
        <f>EE86/O86</f>
        <v/>
      </c>
      <c r="K86" s="14">
        <f>MAX(0,CP86-CQ86-CR86-CU86)</f>
        <v/>
      </c>
      <c r="L86" s="10" t="n"/>
      <c r="M86" s="22">
        <f>IF(L86="",$B$18,L86)</f>
        <v/>
      </c>
      <c r="N86" s="13" t="n"/>
      <c r="O86" s="12">
        <f>(1+$B$17)^(A86-household!$B$4+1)</f>
        <v/>
      </c>
      <c r="P86" s="12">
        <f>(1+$B$17)^(A86-tax_tables!$B$4)</f>
        <v/>
      </c>
      <c r="Q86" s="12">
        <f>(1+$B$17)^(A86-tax_tables!$B$4-MAX(0,MIN(A86,tax_tables!$B$45)-tax_tables!$B$44+1))</f>
        <v/>
      </c>
      <c r="R86" s="12">
        <f>(1+$B$21)^(A86-household!$B$4+1)</f>
        <v/>
      </c>
      <c r="S86" s="12">
        <f>(1+$B$22)^(A86-household!$B$4+1)</f>
        <v/>
      </c>
      <c r="T86" s="12">
        <f>(1+$B$23)^(A86-household!$B$4+1)</f>
        <v/>
      </c>
      <c r="U86" s="21">
        <f>IF(A86&lt;$B$5,1,0)</f>
        <v/>
      </c>
      <c r="V86" s="21">
        <f>IF(A86&lt;$B$6,1,0)</f>
        <v/>
      </c>
      <c r="W86" s="21">
        <f>IF(U86+V86&gt;0,1,0)</f>
        <v/>
      </c>
      <c r="X86" s="14">
        <f>U86*$B$7*O86+SUMPRODUCT(($B$72:$B$77=A86)*($D$72:$D$77="Wages: person 1")*$C$72:$C$77)*O86</f>
        <v/>
      </c>
      <c r="Y86" s="14">
        <f>V86*$B$8*O86+SUMPRODUCT(($B$72:$B$77=A86)*($D$72:$D$77="Wages: person 2")*$C$72:$C$77)*O86</f>
        <v/>
      </c>
      <c r="Z86" s="14">
        <f>U86*$B$9*O86</f>
        <v/>
      </c>
      <c r="AA86" s="14">
        <f>V86*$B$10*O86</f>
        <v/>
      </c>
      <c r="AB86" s="14">
        <f>U86*$B$11*O86</f>
        <v/>
      </c>
      <c r="AC86" s="14">
        <f>V86*$B$12*O86</f>
        <v/>
      </c>
      <c r="AD86" s="14">
        <f>X86+Y86</f>
        <v/>
      </c>
      <c r="AE86" s="14">
        <f>AD86-Z86-AA86</f>
        <v/>
      </c>
      <c r="AF86" s="14">
        <f>tax_tables!$B$25*MAX(0,MIN(X86,tax_tables!$B$27*P86)-tax_tables!$B$26)+tax_tables!$B$28*MAX(0,MIN(X86,tax_tables!$B$29*P86)-tax_tables!$B$27*P86)+tax_tables!$B$30*MIN(X86,tax_tables!$B$31*P86)</f>
        <v/>
      </c>
      <c r="AG86" s="14">
        <f>tax_tables!$B$25*MAX(0,MIN(Y86,tax_tables!$B$27*P86)-tax_tables!$B$26)+tax_tables!$B$28*MAX(0,MIN(Y86,tax_tables!$B$29*P86)-tax_tables!$B$27*P86)+tax_tables!$B$30*MIN(Y86,tax_tables!$B$31*P86)</f>
        <v/>
      </c>
      <c r="AH86" s="14">
        <f>AF86+AG86</f>
        <v/>
      </c>
      <c r="AI86" s="14">
        <f>$B$13*AE86</f>
        <v/>
      </c>
      <c r="AJ86" s="14">
        <f>AD86-Z86-AA86-AH86-AI86</f>
        <v/>
      </c>
      <c r="AK86" s="14">
        <f>SUMPRODUCT(($B$72:$B$77=A86)*($D$72:$D$77="Other taxable income")*$C$72:$C$77)*O86</f>
        <v/>
      </c>
      <c r="AL86" s="14">
        <f>SUMPRODUCT(($B$72:$B$77=A86)*($D$72:$D$77="Tax-free money in")*$C$72:$C$77)*O86</f>
        <v/>
      </c>
      <c r="AM86" s="14">
        <f>SUMPRODUCT(($B$72:$B$77=A86)*($D$72:$D$77="Expense")*$C$72:$C$77)*O86</f>
        <v/>
      </c>
      <c r="AN86" s="21">
        <f>IF(OR($B$64="",A86&lt;$B$64),1,0)</f>
        <v/>
      </c>
      <c r="AO86" s="14">
        <f>AR85</f>
        <v/>
      </c>
      <c r="AP86" s="14">
        <f>AN86*AO86*properties!$J$2</f>
        <v/>
      </c>
      <c r="AQ86" s="14">
        <f>AN86*MIN(properties!$K$2,AO86+AP86)</f>
        <v/>
      </c>
      <c r="AR86" s="14">
        <f>AN86*(AO86+AP86-AQ86)</f>
        <v/>
      </c>
      <c r="AS86" s="14">
        <f>AN86*properties!$G$2*O86</f>
        <v/>
      </c>
      <c r="AT86" s="14">
        <f>(1-AN86)*$E$64*O86</f>
        <v/>
      </c>
      <c r="AU86" s="14">
        <f>AQ86+AS86+AT86</f>
        <v/>
      </c>
      <c r="AV86" s="14">
        <f>SUMIF(budget!$A$2:$A$300,"household",budget!$F$2:$F$300)*O86*IF(N86="",1,N86)</f>
        <v/>
      </c>
      <c r="AW86" s="14">
        <f>SUMPRODUCT((other_budget!$C$2:$C$30&lt;=A86)*(other_budget!$D$2:$D$30&gt;=A86)*other_budget!$B$2:$B$30)*O86</f>
        <v/>
      </c>
      <c r="AX86" s="14">
        <f>SUMPRODUCT((kids_budget!$D$2:$D$40&lt;=A86)*(kids_budget!$E$2:$E$40&gt;=A86)*(kids_budget!$G$2:$G$40&lt;&gt;"college_funds")*kids_budget!$C$2:$C$40*((kids_budget!$F$2:$F$40="college")*S86+(kids_budget!$F$2:$F$40&lt;&gt;"college")*O86))</f>
        <v/>
      </c>
      <c r="AY86" s="14">
        <f>SUMPRODUCT((kids_budget!$D$2:$D$40&lt;=A86)*(kids_budget!$E$2:$E$40&gt;=A86)*(kids_budget!$G$2:$G$40="college_funds")*kids_budget!$C$2:$C$40*((kids_budget!$F$2:$F$40="college")*S86+(kids_budget!$F$2:$F$40&lt;&gt;"college")*O86))</f>
        <v/>
      </c>
      <c r="AZ86" s="14">
        <f>BC85</f>
        <v/>
      </c>
      <c r="BA86" s="14">
        <f>MIN(AY86,AZ86*(1+M86))</f>
        <v/>
      </c>
      <c r="BB86" s="14">
        <f>AY86-BA86</f>
        <v/>
      </c>
      <c r="BC86" s="14">
        <f>AZ86*(1+M86)-BA86</f>
        <v/>
      </c>
      <c r="BD86" s="14">
        <f>W86*healthcare!$B$2*R86</f>
        <v/>
      </c>
      <c r="BE86" s="21">
        <f>(1-W86)*2</f>
        <v/>
      </c>
      <c r="BF86" s="14">
        <f>BE86*healthcare!$B$3*12*R86</f>
        <v/>
      </c>
      <c r="BG86" s="14">
        <f>BE86*healthcare!$B$4*R86</f>
        <v/>
      </c>
      <c r="BH86" s="21">
        <f>AND(B86&gt;=$B$44,B86&lt;$B$44+$B$45)*1+AND(C86&gt;=$B$46,C86&lt;$B$46+$B$47)*1</f>
        <v/>
      </c>
      <c r="BI86" s="14">
        <f>BH86*$B$48*T86</f>
        <v/>
      </c>
      <c r="BJ86" s="14">
        <f>BD86+BF86+BG86+BI86</f>
        <v/>
      </c>
      <c r="BK86" s="14">
        <f>SUMPRODUCT((1-($B$65:$B$68&gt;0)*(A86&gt;=$B$65:$B$68))*(1-(($C$65:$C$68&gt;0)*(A86&gt;=$C$65:$C$68)))*(properties!$L$3:$L$6-properties!$M$3:$M$6))*O86+SUMPRODUCT((1-($B$65:$B$68&gt;0)*(A86&gt;=$B$65:$B$68))*(($C$65:$C$68&gt;0)*(A86&gt;=$C$65:$C$68))*($D$65:$D$68-$E$65:$E$68))*O86</f>
        <v/>
      </c>
      <c r="BL86" s="14">
        <f>SUMPRODUCT((1-($B$65:$B$68&gt;0)*(A86&gt;=$B$65:$B$68))*properties!$N$3:$N$6*(A86&lt;=properties!$O$3:$O$6))</f>
        <v/>
      </c>
      <c r="BM86" s="14">
        <f>MAX(0,BK86-BL86)</f>
        <v/>
      </c>
      <c r="BN86" s="14">
        <f>SUMPRODUCT(($B$64:$B$68=A86)*$G$64:$G$68)</f>
        <v/>
      </c>
      <c r="BO86" s="14">
        <f>SUMPRODUCT(($B$64:$B$68=A86)*$H$64:$H$68)</f>
        <v/>
      </c>
      <c r="BP86" s="14">
        <f>SUMPRODUCT(($B$64:$B$68=A86)*$I$64:$I$68)</f>
        <v/>
      </c>
      <c r="BQ86" s="14">
        <f>AN86*properties!$C$2*(1+properties!$D$2)^(A86-household!$B$4+1)</f>
        <v/>
      </c>
      <c r="BR86" s="14">
        <f>SUMPRODUCT((1-($B$65:$B$68&gt;0)*(A86&gt;=$B$65:$B$68))*properties!$C$3:$C$6*(1+properties!$D$3:$D$6)^(A86-household!$B$4+1))</f>
        <v/>
      </c>
      <c r="BS86" s="14">
        <f>IF(A86&gt;=household!$B$6+$B$26,household!$B$11*12*$B$30*O86,0)</f>
        <v/>
      </c>
      <c r="BT86" s="14">
        <f>IF(A86&gt;=household!$B$9+$B$27,household!$B$12*12*$B$31*O86,0)</f>
        <v/>
      </c>
      <c r="BU86" s="14">
        <f>IF(A86&gt;=household!$B$6+$B$28,tax_tables!$B$19*12*P86*MIN(1,household!$B$13/40)*$B$32*(1+tax_tables!$B$20*(B86&gt;=75)),0)</f>
        <v/>
      </c>
      <c r="BV86" s="14">
        <f>IF(A86&gt;=household!$B$9+$B$29,tax_tables!$B$19*12*P86*MIN(1,household!$B$14/40)*$B$33*(1+tax_tables!$B$20*(C86&gt;=75)),0)</f>
        <v/>
      </c>
      <c r="BW86" s="14">
        <f>IF(AND($B$36&lt;&gt;0,A86&gt;=household!$B$6+$B$37),$B$36*(1+$B$17)^(MAX(household!$B$6+$B$37,household!$B$4-1)-household!$B$4+1)*(1+$B$40*$B$17)^(A86-MAX(household!$B$6+$B$37,household!$B$4-1)),0)</f>
        <v/>
      </c>
      <c r="BX86" s="14">
        <f>IF(AND($B$38&lt;&gt;0,A86&gt;=household!$B$9+$B$39),$B$38*(1+$B$17)^(MAX(household!$B$9+$B$39,household!$B$4-1)-household!$B$4+1)*(1+$B$40*$B$17)^(A86-MAX(household!$B$9+$B$39,household!$B$4-1)),0)</f>
        <v/>
      </c>
      <c r="BY86" s="14">
        <f>CZ85</f>
        <v/>
      </c>
      <c r="BZ86" s="14">
        <f>DA85</f>
        <v/>
      </c>
      <c r="CA86" s="14">
        <f>$B$19*BY86</f>
        <v/>
      </c>
      <c r="CB86" s="14">
        <f>DB85</f>
        <v/>
      </c>
      <c r="CC86" s="14">
        <f>DC85</f>
        <v/>
      </c>
      <c r="CD86" s="14">
        <f>IF(B86&gt;=tax_tables!$B$46,MAX(0,CB86)*INDEX(tax_tables!$N$5:$N$54,MATCH(MIN(B86-1,120),tax_tables!$M$5:$M$54,0)),0)</f>
        <v/>
      </c>
      <c r="CE86" s="14">
        <f>IF(C86&gt;=tax_tables!$B$46,MAX(0,CC86)*INDEX(tax_tables!$N$5:$N$54,MATCH(MIN(C86-1,120),tax_tables!$M$5:$M$54,0)),0)</f>
        <v/>
      </c>
      <c r="CF86" s="14">
        <f>DD85</f>
        <v/>
      </c>
      <c r="CG86" s="14">
        <f>IF(OR($B$52="",$B$53=""),0,IF(AND(A86&gt;=$B$52,A86&lt;=$B$53),$B$51*O86,0))</f>
        <v/>
      </c>
      <c r="CH86" s="14">
        <f>MAX(0,CB86*(1+M86)-CD86)</f>
        <v/>
      </c>
      <c r="CI86" s="14">
        <f>MAX(0,CC86*(1+M86)-CE86)</f>
        <v/>
      </c>
      <c r="CJ86" s="14">
        <f>MIN(CG86,CH86+CI86)</f>
        <v/>
      </c>
      <c r="CK86" s="14">
        <f>IF(CH86+CI86&gt;1,CJ86*CH86/(CH86+CI86),0)</f>
        <v/>
      </c>
      <c r="CL86" s="14">
        <f>CJ86-CK86</f>
        <v/>
      </c>
      <c r="CM86" s="14">
        <f>CM85-CW85+CU85+tax_tables!$B$32*P86*2</f>
        <v/>
      </c>
      <c r="CN86" s="14">
        <f>EC85-AI85</f>
        <v/>
      </c>
      <c r="CO86" s="14">
        <f>AJ86+F86+BW86+BX86+BK86+CA86+CD86+CE86+BN86+AK86+AL86+CJ86</f>
        <v/>
      </c>
      <c r="CP86" s="14">
        <f>D86+CN86-CO86</f>
        <v/>
      </c>
      <c r="CQ86" s="14">
        <f>MAX(0,MIN(CP86,BY86*(1+M86-$B$19)))</f>
        <v/>
      </c>
      <c r="CR86" s="14">
        <f>MAX(0,MIN(CP86-CQ86,(CH86-CK86)+(CI86-CL86)))</f>
        <v/>
      </c>
      <c r="CS86" s="14">
        <f>IF((CH86-CK86)+(CI86-CL86)&gt;1,CR86*(CH86-CK86)/((CH86-CK86)+(CI86-CL86)),0)</f>
        <v/>
      </c>
      <c r="CT86" s="14">
        <f>CR86-CS86</f>
        <v/>
      </c>
      <c r="CU86" s="14">
        <f>MAX(0,MIN(CP86-CQ86-CR86,CF86*(1+M86)))</f>
        <v/>
      </c>
      <c r="CV86" s="14">
        <f>MAX(0,-CP86)</f>
        <v/>
      </c>
      <c r="CW86" s="14">
        <f>MIN(CV86,MAX(0,CM86))</f>
        <v/>
      </c>
      <c r="CX86" s="22">
        <f>IF(BY86&gt;0,MAX(0,1-BZ86/BY86),0)</f>
        <v/>
      </c>
      <c r="CY86" s="14">
        <f>CQ86*CX86</f>
        <v/>
      </c>
      <c r="CZ86" s="14">
        <f>BY86*(1+M86-$B$19)-CQ86+(CV86-CW86)</f>
        <v/>
      </c>
      <c r="DA86" s="14">
        <f>BZ86-(CQ86-CY86)+(CV86-CW86)</f>
        <v/>
      </c>
      <c r="DB86" s="14">
        <f>CB86*(1+M86)-CD86-CS86-CK86+Z86+AB86</f>
        <v/>
      </c>
      <c r="DC86" s="14">
        <f>CC86*(1+M86)-CE86-CT86-CL86+AA86+AC86</f>
        <v/>
      </c>
      <c r="DD86" s="14">
        <f>CF86*(1+M86)-CU86+CW86</f>
        <v/>
      </c>
      <c r="DE86" s="14">
        <f>CD86+CK86+CS86</f>
        <v/>
      </c>
      <c r="DF86" s="14">
        <f>CA86*household!$B$15*$B$20*(1+tax_tables!$B$17)</f>
        <v/>
      </c>
      <c r="DG86" s="14">
        <f>X86+BS86+BU86+BW86+DE86+DF86+CA86*household!$B$15*(1-$B$20)+(CY86+BO86)*household!$B$15*tax_tables!$B$18+(BP86+BM86+AK86)*household!$B$15-Z86</f>
        <v/>
      </c>
      <c r="DH86" s="14">
        <f>CE86+CL86+CT86</f>
        <v/>
      </c>
      <c r="DI86" s="14">
        <f>CA86*(1-household!$B$15)*$B$20*(1+tax_tables!$B$17)</f>
        <v/>
      </c>
      <c r="DJ86" s="14">
        <f>Y86+BT86+BV86+BX86+DH86+DI86+CA86*(1-household!$B$15)*(1-$B$20)+(CY86+BO86)*(1-household!$B$15)*tax_tables!$B$18+(BP86+BM86+AK86)*(1-household!$B$15)-AA86</f>
        <v/>
      </c>
      <c r="DK86" s="14">
        <f>IF((DG86&gt;=DJ86),MIN(0.5*(BW86+IF(B86&gt;=65,DE86,0)),MAX(0,(DG86-DJ86)/2)),MIN(0.5*(BX86+IF(C86&gt;=65,DH86,0)),MAX(0,(DJ86-DG86)/2)))</f>
        <v/>
      </c>
      <c r="DL86" s="14">
        <f>DG86+IF((DG86&gt;=DJ86),-DK86,DK86)</f>
        <v/>
      </c>
      <c r="DM86" s="14">
        <f>BW86+IF(B86&gt;=65,DE86,0)+IF((DG86&gt;=DJ86),-DK86,DK86)</f>
        <v/>
      </c>
      <c r="DN86" s="14">
        <f>MIN(BU86,tax_tables!$B$22*MAX(0,DL86-tax_tables!$B$21*P86))</f>
        <v/>
      </c>
      <c r="DO86" s="14">
        <f>MAX(0,DL86-DN86)</f>
        <v/>
      </c>
      <c r="DP86" s="14">
        <f>DJ86+IF((DG86&gt;=DJ86),DK86,-DK86)</f>
        <v/>
      </c>
      <c r="DQ86" s="14">
        <f>BX86+IF(C86&gt;=65,DH86,0)+IF((DG86&gt;=DJ86),DK86,-DK86)</f>
        <v/>
      </c>
      <c r="DR86" s="14">
        <f>MIN(BV86,tax_tables!$B$22*MAX(0,DP86-tax_tables!$B$21*P86))</f>
        <v/>
      </c>
      <c r="DS86" s="14">
        <f>MAX(0,DP86-DR86)</f>
        <v/>
      </c>
      <c r="DT86" s="14">
        <f>BJ86-BD86</f>
        <v/>
      </c>
      <c r="DU86" s="14">
        <f>(tax_tables!$B$6-(tax_tables!$B$6-tax_tables!$B$7)*MIN(1,MAX(0,(DL86-tax_tables!$B$8*P86)/((tax_tables!$B$9-tax_tables!$B$8)*P86))))*P86+(B86&gt;=65)*MAX(0,tax_tables!$B$10*P86-tax_tables!$B$12*MAX(0,DL86-tax_tables!$B$11*P86))+MIN(tax_tables!$B$13,DM86)+MIN(tax_tables!$B$14*P86,X86)+AF86+(DL86&lt;=DP86)*MAX(0,DT86-MIN(0.03*DL86,tax_tables!$B$15*P86))</f>
        <v/>
      </c>
      <c r="DV86" s="14">
        <f>MAX(0,SUMPRODUCT((DO86&gt;tax_tables!$E$5:$E$16*P86)*(DO86-tax_tables!$E$5:$E$16*P86)*tax_tables!$G$5:$G$16)-tax_tables!$B$5*DU86-tax_tables!$B$16*DF86)</f>
        <v/>
      </c>
      <c r="DW86" s="14">
        <f>tax_tables!$B$35*Q86+(B86&gt;=65)*MAX(0,tax_tables!$B$36*Q86-tax_tables!$B$12*MAX(0,DL86-tax_tables!$B$37*Q86))+MIN(tax_tables!$B$38,DM86)+AF86+(DL86&lt;=DP86)*MAX(0,DT86-MIN(0.03*DL86,tax_tables!$B$39*Q86))</f>
        <v/>
      </c>
      <c r="DX86" s="14">
        <f>MAX(0,SUMPRODUCT((DO86&gt;tax_tables!$I$5:$I$16*Q86)*(DO86-tax_tables!$I$5:$I$16*Q86)*tax_tables!$K$5:$K$16)-tax_tables!$B$34*DW86-tax_tables!$B$40*DF86-MAX(0,tax_tables!$B$41*Q86-tax_tables!$B$43*MAX(0,DL86-tax_tables!$B$42*Q86)))</f>
        <v/>
      </c>
      <c r="DY86" s="14">
        <f>(tax_tables!$B$6-(tax_tables!$B$6-tax_tables!$B$7)*MIN(1,MAX(0,(DP86-tax_tables!$B$8*P86)/((tax_tables!$B$9-tax_tables!$B$8)*P86))))*P86+(C86&gt;=65)*MAX(0,tax_tables!$B$10*P86-tax_tables!$B$12*MAX(0,DP86-tax_tables!$B$11*P86))+MIN(tax_tables!$B$13,DQ86)+MIN(tax_tables!$B$14*P86,Y86)+AG86+(DL86&gt;DP86)*MAX(0,DT86-MIN(0.03*DP86,tax_tables!$B$15*P86))</f>
        <v/>
      </c>
      <c r="DZ86" s="14">
        <f>MAX(0,SUMPRODUCT((DS86&gt;tax_tables!$E$5:$E$16*P86)*(DS86-tax_tables!$E$5:$E$16*P86)*tax_tables!$G$5:$G$16)-tax_tables!$B$5*DY86-tax_tables!$B$16*DI86)</f>
        <v/>
      </c>
      <c r="EA86" s="14">
        <f>tax_tables!$B$35*Q86+(C86&gt;=65)*MAX(0,tax_tables!$B$36*Q86-tax_tables!$B$12*MAX(0,DP86-tax_tables!$B$37*Q86))+MIN(tax_tables!$B$38,DQ86)+AG86+(DL86&gt;DP86)*MAX(0,DT86-MIN(0.03*DP86,tax_tables!$B$39*Q86))</f>
        <v/>
      </c>
      <c r="EB86" s="14">
        <f>MAX(0,SUMPRODUCT((DS86&gt;tax_tables!$I$5:$I$16*Q86)*(DS86-tax_tables!$I$5:$I$16*Q86)*tax_tables!$K$5:$K$16)-tax_tables!$B$34*EA86-tax_tables!$B$40*DI86-MAX(0,tax_tables!$B$41*Q86-tax_tables!$B$43*MAX(0,DP86-tax_tables!$B$42*Q86)))</f>
        <v/>
      </c>
      <c r="EC86" s="14">
        <f>DV86+DZ86+DX86+EB86+DN86+DR86</f>
        <v/>
      </c>
      <c r="ED86" s="14">
        <f>CZ86+DB86+DC86+DD86</f>
        <v/>
      </c>
      <c r="EE86" s="14">
        <f>ED86+BQ86-AR86+BR86</f>
        <v/>
      </c>
    </row>
    <row r="87">
      <c r="A87" s="21">
        <f>A86+1</f>
        <v/>
      </c>
      <c r="B87" s="21">
        <f>A87-household!$B$6</f>
        <v/>
      </c>
      <c r="C87" s="21">
        <f>A87-household!$B$9</f>
        <v/>
      </c>
      <c r="D87" s="14">
        <f>AU87+AV87+AW87+AX87+BB87+BJ87+AM87</f>
        <v/>
      </c>
      <c r="E87" s="14">
        <f>CN87+AI87+AH87</f>
        <v/>
      </c>
      <c r="F87" s="14">
        <f>BS87+BT87+BU87+BV87</f>
        <v/>
      </c>
      <c r="G87" s="14">
        <f>CQ87+CR87+CU87+CD87+CE87+CA87-CV87+CJ87+CW87</f>
        <v/>
      </c>
      <c r="H87" s="22">
        <f>IF(BY87+CB87+CC87+CF87&lt;=0,"",G87/(BY87+CB87+CC87+CF87))</f>
        <v/>
      </c>
      <c r="I87" s="23">
        <f>ED87/O87</f>
        <v/>
      </c>
      <c r="J87" s="23">
        <f>EE87/O87</f>
        <v/>
      </c>
      <c r="K87" s="14">
        <f>MAX(0,CP87-CQ87-CR87-CU87)</f>
        <v/>
      </c>
      <c r="L87" s="10" t="n"/>
      <c r="M87" s="22">
        <f>IF(L87="",$B$18,L87)</f>
        <v/>
      </c>
      <c r="N87" s="13" t="n"/>
      <c r="O87" s="12">
        <f>(1+$B$17)^(A87-household!$B$4+1)</f>
        <v/>
      </c>
      <c r="P87" s="12">
        <f>(1+$B$17)^(A87-tax_tables!$B$4)</f>
        <v/>
      </c>
      <c r="Q87" s="12">
        <f>(1+$B$17)^(A87-tax_tables!$B$4-MAX(0,MIN(A87,tax_tables!$B$45)-tax_tables!$B$44+1))</f>
        <v/>
      </c>
      <c r="R87" s="12">
        <f>(1+$B$21)^(A87-household!$B$4+1)</f>
        <v/>
      </c>
      <c r="S87" s="12">
        <f>(1+$B$22)^(A87-household!$B$4+1)</f>
        <v/>
      </c>
      <c r="T87" s="12">
        <f>(1+$B$23)^(A87-household!$B$4+1)</f>
        <v/>
      </c>
      <c r="U87" s="21">
        <f>IF(A87&lt;$B$5,1,0)</f>
        <v/>
      </c>
      <c r="V87" s="21">
        <f>IF(A87&lt;$B$6,1,0)</f>
        <v/>
      </c>
      <c r="W87" s="21">
        <f>IF(U87+V87&gt;0,1,0)</f>
        <v/>
      </c>
      <c r="X87" s="14">
        <f>U87*$B$7*O87+SUMPRODUCT(($B$72:$B$77=A87)*($D$72:$D$77="Wages: person 1")*$C$72:$C$77)*O87</f>
        <v/>
      </c>
      <c r="Y87" s="14">
        <f>V87*$B$8*O87+SUMPRODUCT(($B$72:$B$77=A87)*($D$72:$D$77="Wages: person 2")*$C$72:$C$77)*O87</f>
        <v/>
      </c>
      <c r="Z87" s="14">
        <f>U87*$B$9*O87</f>
        <v/>
      </c>
      <c r="AA87" s="14">
        <f>V87*$B$10*O87</f>
        <v/>
      </c>
      <c r="AB87" s="14">
        <f>U87*$B$11*O87</f>
        <v/>
      </c>
      <c r="AC87" s="14">
        <f>V87*$B$12*O87</f>
        <v/>
      </c>
      <c r="AD87" s="14">
        <f>X87+Y87</f>
        <v/>
      </c>
      <c r="AE87" s="14">
        <f>AD87-Z87-AA87</f>
        <v/>
      </c>
      <c r="AF87" s="14">
        <f>tax_tables!$B$25*MAX(0,MIN(X87,tax_tables!$B$27*P87)-tax_tables!$B$26)+tax_tables!$B$28*MAX(0,MIN(X87,tax_tables!$B$29*P87)-tax_tables!$B$27*P87)+tax_tables!$B$30*MIN(X87,tax_tables!$B$31*P87)</f>
        <v/>
      </c>
      <c r="AG87" s="14">
        <f>tax_tables!$B$25*MAX(0,MIN(Y87,tax_tables!$B$27*P87)-tax_tables!$B$26)+tax_tables!$B$28*MAX(0,MIN(Y87,tax_tables!$B$29*P87)-tax_tables!$B$27*P87)+tax_tables!$B$30*MIN(Y87,tax_tables!$B$31*P87)</f>
        <v/>
      </c>
      <c r="AH87" s="14">
        <f>AF87+AG87</f>
        <v/>
      </c>
      <c r="AI87" s="14">
        <f>$B$13*AE87</f>
        <v/>
      </c>
      <c r="AJ87" s="14">
        <f>AD87-Z87-AA87-AH87-AI87</f>
        <v/>
      </c>
      <c r="AK87" s="14">
        <f>SUMPRODUCT(($B$72:$B$77=A87)*($D$72:$D$77="Other taxable income")*$C$72:$C$77)*O87</f>
        <v/>
      </c>
      <c r="AL87" s="14">
        <f>SUMPRODUCT(($B$72:$B$77=A87)*($D$72:$D$77="Tax-free money in")*$C$72:$C$77)*O87</f>
        <v/>
      </c>
      <c r="AM87" s="14">
        <f>SUMPRODUCT(($B$72:$B$77=A87)*($D$72:$D$77="Expense")*$C$72:$C$77)*O87</f>
        <v/>
      </c>
      <c r="AN87" s="21">
        <f>IF(OR($B$64="",A87&lt;$B$64),1,0)</f>
        <v/>
      </c>
      <c r="AO87" s="14">
        <f>AR86</f>
        <v/>
      </c>
      <c r="AP87" s="14">
        <f>AN87*AO87*properties!$J$2</f>
        <v/>
      </c>
      <c r="AQ87" s="14">
        <f>AN87*MIN(properties!$K$2,AO87+AP87)</f>
        <v/>
      </c>
      <c r="AR87" s="14">
        <f>AN87*(AO87+AP87-AQ87)</f>
        <v/>
      </c>
      <c r="AS87" s="14">
        <f>AN87*properties!$G$2*O87</f>
        <v/>
      </c>
      <c r="AT87" s="14">
        <f>(1-AN87)*$E$64*O87</f>
        <v/>
      </c>
      <c r="AU87" s="14">
        <f>AQ87+AS87+AT87</f>
        <v/>
      </c>
      <c r="AV87" s="14">
        <f>SUMIF(budget!$A$2:$A$300,"household",budget!$F$2:$F$300)*O87*IF(N87="",1,N87)</f>
        <v/>
      </c>
      <c r="AW87" s="14">
        <f>SUMPRODUCT((other_budget!$C$2:$C$30&lt;=A87)*(other_budget!$D$2:$D$30&gt;=A87)*other_budget!$B$2:$B$30)*O87</f>
        <v/>
      </c>
      <c r="AX87" s="14">
        <f>SUMPRODUCT((kids_budget!$D$2:$D$40&lt;=A87)*(kids_budget!$E$2:$E$40&gt;=A87)*(kids_budget!$G$2:$G$40&lt;&gt;"college_funds")*kids_budget!$C$2:$C$40*((kids_budget!$F$2:$F$40="college")*S87+(kids_budget!$F$2:$F$40&lt;&gt;"college")*O87))</f>
        <v/>
      </c>
      <c r="AY87" s="14">
        <f>SUMPRODUCT((kids_budget!$D$2:$D$40&lt;=A87)*(kids_budget!$E$2:$E$40&gt;=A87)*(kids_budget!$G$2:$G$40="college_funds")*kids_budget!$C$2:$C$40*((kids_budget!$F$2:$F$40="college")*S87+(kids_budget!$F$2:$F$40&lt;&gt;"college")*O87))</f>
        <v/>
      </c>
      <c r="AZ87" s="14">
        <f>BC86</f>
        <v/>
      </c>
      <c r="BA87" s="14">
        <f>MIN(AY87,AZ87*(1+M87))</f>
        <v/>
      </c>
      <c r="BB87" s="14">
        <f>AY87-BA87</f>
        <v/>
      </c>
      <c r="BC87" s="14">
        <f>AZ87*(1+M87)-BA87</f>
        <v/>
      </c>
      <c r="BD87" s="14">
        <f>W87*healthcare!$B$2*R87</f>
        <v/>
      </c>
      <c r="BE87" s="21">
        <f>(1-W87)*2</f>
        <v/>
      </c>
      <c r="BF87" s="14">
        <f>BE87*healthcare!$B$3*12*R87</f>
        <v/>
      </c>
      <c r="BG87" s="14">
        <f>BE87*healthcare!$B$4*R87</f>
        <v/>
      </c>
      <c r="BH87" s="21">
        <f>AND(B87&gt;=$B$44,B87&lt;$B$44+$B$45)*1+AND(C87&gt;=$B$46,C87&lt;$B$46+$B$47)*1</f>
        <v/>
      </c>
      <c r="BI87" s="14">
        <f>BH87*$B$48*T87</f>
        <v/>
      </c>
      <c r="BJ87" s="14">
        <f>BD87+BF87+BG87+BI87</f>
        <v/>
      </c>
      <c r="BK87" s="14">
        <f>SUMPRODUCT((1-($B$65:$B$68&gt;0)*(A87&gt;=$B$65:$B$68))*(1-(($C$65:$C$68&gt;0)*(A87&gt;=$C$65:$C$68)))*(properties!$L$3:$L$6-properties!$M$3:$M$6))*O87+SUMPRODUCT((1-($B$65:$B$68&gt;0)*(A87&gt;=$B$65:$B$68))*(($C$65:$C$68&gt;0)*(A87&gt;=$C$65:$C$68))*($D$65:$D$68-$E$65:$E$68))*O87</f>
        <v/>
      </c>
      <c r="BL87" s="14">
        <f>SUMPRODUCT((1-($B$65:$B$68&gt;0)*(A87&gt;=$B$65:$B$68))*properties!$N$3:$N$6*(A87&lt;=properties!$O$3:$O$6))</f>
        <v/>
      </c>
      <c r="BM87" s="14">
        <f>MAX(0,BK87-BL87)</f>
        <v/>
      </c>
      <c r="BN87" s="14">
        <f>SUMPRODUCT(($B$64:$B$68=A87)*$G$64:$G$68)</f>
        <v/>
      </c>
      <c r="BO87" s="14">
        <f>SUMPRODUCT(($B$64:$B$68=A87)*$H$64:$H$68)</f>
        <v/>
      </c>
      <c r="BP87" s="14">
        <f>SUMPRODUCT(($B$64:$B$68=A87)*$I$64:$I$68)</f>
        <v/>
      </c>
      <c r="BQ87" s="14">
        <f>AN87*properties!$C$2*(1+properties!$D$2)^(A87-household!$B$4+1)</f>
        <v/>
      </c>
      <c r="BR87" s="14">
        <f>SUMPRODUCT((1-($B$65:$B$68&gt;0)*(A87&gt;=$B$65:$B$68))*properties!$C$3:$C$6*(1+properties!$D$3:$D$6)^(A87-household!$B$4+1))</f>
        <v/>
      </c>
      <c r="BS87" s="14">
        <f>IF(A87&gt;=household!$B$6+$B$26,household!$B$11*12*$B$30*O87,0)</f>
        <v/>
      </c>
      <c r="BT87" s="14">
        <f>IF(A87&gt;=household!$B$9+$B$27,household!$B$12*12*$B$31*O87,0)</f>
        <v/>
      </c>
      <c r="BU87" s="14">
        <f>IF(A87&gt;=household!$B$6+$B$28,tax_tables!$B$19*12*P87*MIN(1,household!$B$13/40)*$B$32*(1+tax_tables!$B$20*(B87&gt;=75)),0)</f>
        <v/>
      </c>
      <c r="BV87" s="14">
        <f>IF(A87&gt;=household!$B$9+$B$29,tax_tables!$B$19*12*P87*MIN(1,household!$B$14/40)*$B$33*(1+tax_tables!$B$20*(C87&gt;=75)),0)</f>
        <v/>
      </c>
      <c r="BW87" s="14">
        <f>IF(AND($B$36&lt;&gt;0,A87&gt;=household!$B$6+$B$37),$B$36*(1+$B$17)^(MAX(household!$B$6+$B$37,household!$B$4-1)-household!$B$4+1)*(1+$B$40*$B$17)^(A87-MAX(household!$B$6+$B$37,household!$B$4-1)),0)</f>
        <v/>
      </c>
      <c r="BX87" s="14">
        <f>IF(AND($B$38&lt;&gt;0,A87&gt;=household!$B$9+$B$39),$B$38*(1+$B$17)^(MAX(household!$B$9+$B$39,household!$B$4-1)-household!$B$4+1)*(1+$B$40*$B$17)^(A87-MAX(household!$B$9+$B$39,household!$B$4-1)),0)</f>
        <v/>
      </c>
      <c r="BY87" s="14">
        <f>CZ86</f>
        <v/>
      </c>
      <c r="BZ87" s="14">
        <f>DA86</f>
        <v/>
      </c>
      <c r="CA87" s="14">
        <f>$B$19*BY87</f>
        <v/>
      </c>
      <c r="CB87" s="14">
        <f>DB86</f>
        <v/>
      </c>
      <c r="CC87" s="14">
        <f>DC86</f>
        <v/>
      </c>
      <c r="CD87" s="14">
        <f>IF(B87&gt;=tax_tables!$B$46,MAX(0,CB87)*INDEX(tax_tables!$N$5:$N$54,MATCH(MIN(B87-1,120),tax_tables!$M$5:$M$54,0)),0)</f>
        <v/>
      </c>
      <c r="CE87" s="14">
        <f>IF(C87&gt;=tax_tables!$B$46,MAX(0,CC87)*INDEX(tax_tables!$N$5:$N$54,MATCH(MIN(C87-1,120),tax_tables!$M$5:$M$54,0)),0)</f>
        <v/>
      </c>
      <c r="CF87" s="14">
        <f>DD86</f>
        <v/>
      </c>
      <c r="CG87" s="14">
        <f>IF(OR($B$52="",$B$53=""),0,IF(AND(A87&gt;=$B$52,A87&lt;=$B$53),$B$51*O87,0))</f>
        <v/>
      </c>
      <c r="CH87" s="14">
        <f>MAX(0,CB87*(1+M87)-CD87)</f>
        <v/>
      </c>
      <c r="CI87" s="14">
        <f>MAX(0,CC87*(1+M87)-CE87)</f>
        <v/>
      </c>
      <c r="CJ87" s="14">
        <f>MIN(CG87,CH87+CI87)</f>
        <v/>
      </c>
      <c r="CK87" s="14">
        <f>IF(CH87+CI87&gt;1,CJ87*CH87/(CH87+CI87),0)</f>
        <v/>
      </c>
      <c r="CL87" s="14">
        <f>CJ87-CK87</f>
        <v/>
      </c>
      <c r="CM87" s="14">
        <f>CM86-CW86+CU86+tax_tables!$B$32*P87*2</f>
        <v/>
      </c>
      <c r="CN87" s="14">
        <f>EC86-AI86</f>
        <v/>
      </c>
      <c r="CO87" s="14">
        <f>AJ87+F87+BW87+BX87+BK87+CA87+CD87+CE87+BN87+AK87+AL87+CJ87</f>
        <v/>
      </c>
      <c r="CP87" s="14">
        <f>D87+CN87-CO87</f>
        <v/>
      </c>
      <c r="CQ87" s="14">
        <f>MAX(0,MIN(CP87,BY87*(1+M87-$B$19)))</f>
        <v/>
      </c>
      <c r="CR87" s="14">
        <f>MAX(0,MIN(CP87-CQ87,(CH87-CK87)+(CI87-CL87)))</f>
        <v/>
      </c>
      <c r="CS87" s="14">
        <f>IF((CH87-CK87)+(CI87-CL87)&gt;1,CR87*(CH87-CK87)/((CH87-CK87)+(CI87-CL87)),0)</f>
        <v/>
      </c>
      <c r="CT87" s="14">
        <f>CR87-CS87</f>
        <v/>
      </c>
      <c r="CU87" s="14">
        <f>MAX(0,MIN(CP87-CQ87-CR87,CF87*(1+M87)))</f>
        <v/>
      </c>
      <c r="CV87" s="14">
        <f>MAX(0,-CP87)</f>
        <v/>
      </c>
      <c r="CW87" s="14">
        <f>MIN(CV87,MAX(0,CM87))</f>
        <v/>
      </c>
      <c r="CX87" s="22">
        <f>IF(BY87&gt;0,MAX(0,1-BZ87/BY87),0)</f>
        <v/>
      </c>
      <c r="CY87" s="14">
        <f>CQ87*CX87</f>
        <v/>
      </c>
      <c r="CZ87" s="14">
        <f>BY87*(1+M87-$B$19)-CQ87+(CV87-CW87)</f>
        <v/>
      </c>
      <c r="DA87" s="14">
        <f>BZ87-(CQ87-CY87)+(CV87-CW87)</f>
        <v/>
      </c>
      <c r="DB87" s="14">
        <f>CB87*(1+M87)-CD87-CS87-CK87+Z87+AB87</f>
        <v/>
      </c>
      <c r="DC87" s="14">
        <f>CC87*(1+M87)-CE87-CT87-CL87+AA87+AC87</f>
        <v/>
      </c>
      <c r="DD87" s="14">
        <f>CF87*(1+M87)-CU87+CW87</f>
        <v/>
      </c>
      <c r="DE87" s="14">
        <f>CD87+CK87+CS87</f>
        <v/>
      </c>
      <c r="DF87" s="14">
        <f>CA87*household!$B$15*$B$20*(1+tax_tables!$B$17)</f>
        <v/>
      </c>
      <c r="DG87" s="14">
        <f>X87+BS87+BU87+BW87+DE87+DF87+CA87*household!$B$15*(1-$B$20)+(CY87+BO87)*household!$B$15*tax_tables!$B$18+(BP87+BM87+AK87)*household!$B$15-Z87</f>
        <v/>
      </c>
      <c r="DH87" s="14">
        <f>CE87+CL87+CT87</f>
        <v/>
      </c>
      <c r="DI87" s="14">
        <f>CA87*(1-household!$B$15)*$B$20*(1+tax_tables!$B$17)</f>
        <v/>
      </c>
      <c r="DJ87" s="14">
        <f>Y87+BT87+BV87+BX87+DH87+DI87+CA87*(1-household!$B$15)*(1-$B$20)+(CY87+BO87)*(1-household!$B$15)*tax_tables!$B$18+(BP87+BM87+AK87)*(1-household!$B$15)-AA87</f>
        <v/>
      </c>
      <c r="DK87" s="14">
        <f>IF((DG87&gt;=DJ87),MIN(0.5*(BW87+IF(B87&gt;=65,DE87,0)),MAX(0,(DG87-DJ87)/2)),MIN(0.5*(BX87+IF(C87&gt;=65,DH87,0)),MAX(0,(DJ87-DG87)/2)))</f>
        <v/>
      </c>
      <c r="DL87" s="14">
        <f>DG87+IF((DG87&gt;=DJ87),-DK87,DK87)</f>
        <v/>
      </c>
      <c r="DM87" s="14">
        <f>BW87+IF(B87&gt;=65,DE87,0)+IF((DG87&gt;=DJ87),-DK87,DK87)</f>
        <v/>
      </c>
      <c r="DN87" s="14">
        <f>MIN(BU87,tax_tables!$B$22*MAX(0,DL87-tax_tables!$B$21*P87))</f>
        <v/>
      </c>
      <c r="DO87" s="14">
        <f>MAX(0,DL87-DN87)</f>
        <v/>
      </c>
      <c r="DP87" s="14">
        <f>DJ87+IF((DG87&gt;=DJ87),DK87,-DK87)</f>
        <v/>
      </c>
      <c r="DQ87" s="14">
        <f>BX87+IF(C87&gt;=65,DH87,0)+IF((DG87&gt;=DJ87),DK87,-DK87)</f>
        <v/>
      </c>
      <c r="DR87" s="14">
        <f>MIN(BV87,tax_tables!$B$22*MAX(0,DP87-tax_tables!$B$21*P87))</f>
        <v/>
      </c>
      <c r="DS87" s="14">
        <f>MAX(0,DP87-DR87)</f>
        <v/>
      </c>
      <c r="DT87" s="14">
        <f>BJ87-BD87</f>
        <v/>
      </c>
      <c r="DU87" s="14">
        <f>(tax_tables!$B$6-(tax_tables!$B$6-tax_tables!$B$7)*MIN(1,MAX(0,(DL87-tax_tables!$B$8*P87)/((tax_tables!$B$9-tax_tables!$B$8)*P87))))*P87+(B87&gt;=65)*MAX(0,tax_tables!$B$10*P87-tax_tables!$B$12*MAX(0,DL87-tax_tables!$B$11*P87))+MIN(tax_tables!$B$13,DM87)+MIN(tax_tables!$B$14*P87,X87)+AF87+(DL87&lt;=DP87)*MAX(0,DT87-MIN(0.03*DL87,tax_tables!$B$15*P87))</f>
        <v/>
      </c>
      <c r="DV87" s="14">
        <f>MAX(0,SUMPRODUCT((DO87&gt;tax_tables!$E$5:$E$16*P87)*(DO87-tax_tables!$E$5:$E$16*P87)*tax_tables!$G$5:$G$16)-tax_tables!$B$5*DU87-tax_tables!$B$16*DF87)</f>
        <v/>
      </c>
      <c r="DW87" s="14">
        <f>tax_tables!$B$35*Q87+(B87&gt;=65)*MAX(0,tax_tables!$B$36*Q87-tax_tables!$B$12*MAX(0,DL87-tax_tables!$B$37*Q87))+MIN(tax_tables!$B$38,DM87)+AF87+(DL87&lt;=DP87)*MAX(0,DT87-MIN(0.03*DL87,tax_tables!$B$39*Q87))</f>
        <v/>
      </c>
      <c r="DX87" s="14">
        <f>MAX(0,SUMPRODUCT((DO87&gt;tax_tables!$I$5:$I$16*Q87)*(DO87-tax_tables!$I$5:$I$16*Q87)*tax_tables!$K$5:$K$16)-tax_tables!$B$34*DW87-tax_tables!$B$40*DF87-MAX(0,tax_tables!$B$41*Q87-tax_tables!$B$43*MAX(0,DL87-tax_tables!$B$42*Q87)))</f>
        <v/>
      </c>
      <c r="DY87" s="14">
        <f>(tax_tables!$B$6-(tax_tables!$B$6-tax_tables!$B$7)*MIN(1,MAX(0,(DP87-tax_tables!$B$8*P87)/((tax_tables!$B$9-tax_tables!$B$8)*P87))))*P87+(C87&gt;=65)*MAX(0,tax_tables!$B$10*P87-tax_tables!$B$12*MAX(0,DP87-tax_tables!$B$11*P87))+MIN(tax_tables!$B$13,DQ87)+MIN(tax_tables!$B$14*P87,Y87)+AG87+(DL87&gt;DP87)*MAX(0,DT87-MIN(0.03*DP87,tax_tables!$B$15*P87))</f>
        <v/>
      </c>
      <c r="DZ87" s="14">
        <f>MAX(0,SUMPRODUCT((DS87&gt;tax_tables!$E$5:$E$16*P87)*(DS87-tax_tables!$E$5:$E$16*P87)*tax_tables!$G$5:$G$16)-tax_tables!$B$5*DY87-tax_tables!$B$16*DI87)</f>
        <v/>
      </c>
      <c r="EA87" s="14">
        <f>tax_tables!$B$35*Q87+(C87&gt;=65)*MAX(0,tax_tables!$B$36*Q87-tax_tables!$B$12*MAX(0,DP87-tax_tables!$B$37*Q87))+MIN(tax_tables!$B$38,DQ87)+AG87+(DL87&gt;DP87)*MAX(0,DT87-MIN(0.03*DP87,tax_tables!$B$39*Q87))</f>
        <v/>
      </c>
      <c r="EB87" s="14">
        <f>MAX(0,SUMPRODUCT((DS87&gt;tax_tables!$I$5:$I$16*Q87)*(DS87-tax_tables!$I$5:$I$16*Q87)*tax_tables!$K$5:$K$16)-tax_tables!$B$34*EA87-tax_tables!$B$40*DI87-MAX(0,tax_tables!$B$41*Q87-tax_tables!$B$43*MAX(0,DP87-tax_tables!$B$42*Q87)))</f>
        <v/>
      </c>
      <c r="EC87" s="14">
        <f>DV87+DZ87+DX87+EB87+DN87+DR87</f>
        <v/>
      </c>
      <c r="ED87" s="14">
        <f>CZ87+DB87+DC87+DD87</f>
        <v/>
      </c>
      <c r="EE87" s="14">
        <f>ED87+BQ87-AR87+BR87</f>
        <v/>
      </c>
    </row>
    <row r="88">
      <c r="A88" s="21">
        <f>A87+1</f>
        <v/>
      </c>
      <c r="B88" s="21">
        <f>A88-household!$B$6</f>
        <v/>
      </c>
      <c r="C88" s="21">
        <f>A88-household!$B$9</f>
        <v/>
      </c>
      <c r="D88" s="14">
        <f>AU88+AV88+AW88+AX88+BB88+BJ88+AM88</f>
        <v/>
      </c>
      <c r="E88" s="14">
        <f>CN88+AI88+AH88</f>
        <v/>
      </c>
      <c r="F88" s="14">
        <f>BS88+BT88+BU88+BV88</f>
        <v/>
      </c>
      <c r="G88" s="14">
        <f>CQ88+CR88+CU88+CD88+CE88+CA88-CV88+CJ88+CW88</f>
        <v/>
      </c>
      <c r="H88" s="22">
        <f>IF(BY88+CB88+CC88+CF88&lt;=0,"",G88/(BY88+CB88+CC88+CF88))</f>
        <v/>
      </c>
      <c r="I88" s="23">
        <f>ED88/O88</f>
        <v/>
      </c>
      <c r="J88" s="23">
        <f>EE88/O88</f>
        <v/>
      </c>
      <c r="K88" s="14">
        <f>MAX(0,CP88-CQ88-CR88-CU88)</f>
        <v/>
      </c>
      <c r="L88" s="10" t="n"/>
      <c r="M88" s="22">
        <f>IF(L88="",$B$18,L88)</f>
        <v/>
      </c>
      <c r="N88" s="13" t="n"/>
      <c r="O88" s="12">
        <f>(1+$B$17)^(A88-household!$B$4+1)</f>
        <v/>
      </c>
      <c r="P88" s="12">
        <f>(1+$B$17)^(A88-tax_tables!$B$4)</f>
        <v/>
      </c>
      <c r="Q88" s="12">
        <f>(1+$B$17)^(A88-tax_tables!$B$4-MAX(0,MIN(A88,tax_tables!$B$45)-tax_tables!$B$44+1))</f>
        <v/>
      </c>
      <c r="R88" s="12">
        <f>(1+$B$21)^(A88-household!$B$4+1)</f>
        <v/>
      </c>
      <c r="S88" s="12">
        <f>(1+$B$22)^(A88-household!$B$4+1)</f>
        <v/>
      </c>
      <c r="T88" s="12">
        <f>(1+$B$23)^(A88-household!$B$4+1)</f>
        <v/>
      </c>
      <c r="U88" s="21">
        <f>IF(A88&lt;$B$5,1,0)</f>
        <v/>
      </c>
      <c r="V88" s="21">
        <f>IF(A88&lt;$B$6,1,0)</f>
        <v/>
      </c>
      <c r="W88" s="21">
        <f>IF(U88+V88&gt;0,1,0)</f>
        <v/>
      </c>
      <c r="X88" s="14">
        <f>U88*$B$7*O88+SUMPRODUCT(($B$72:$B$77=A88)*($D$72:$D$77="Wages: person 1")*$C$72:$C$77)*O88</f>
        <v/>
      </c>
      <c r="Y88" s="14">
        <f>V88*$B$8*O88+SUMPRODUCT(($B$72:$B$77=A88)*($D$72:$D$77="Wages: person 2")*$C$72:$C$77)*O88</f>
        <v/>
      </c>
      <c r="Z88" s="14">
        <f>U88*$B$9*O88</f>
        <v/>
      </c>
      <c r="AA88" s="14">
        <f>V88*$B$10*O88</f>
        <v/>
      </c>
      <c r="AB88" s="14">
        <f>U88*$B$11*O88</f>
        <v/>
      </c>
      <c r="AC88" s="14">
        <f>V88*$B$12*O88</f>
        <v/>
      </c>
      <c r="AD88" s="14">
        <f>X88+Y88</f>
        <v/>
      </c>
      <c r="AE88" s="14">
        <f>AD88-Z88-AA88</f>
        <v/>
      </c>
      <c r="AF88" s="14">
        <f>tax_tables!$B$25*MAX(0,MIN(X88,tax_tables!$B$27*P88)-tax_tables!$B$26)+tax_tables!$B$28*MAX(0,MIN(X88,tax_tables!$B$29*P88)-tax_tables!$B$27*P88)+tax_tables!$B$30*MIN(X88,tax_tables!$B$31*P88)</f>
        <v/>
      </c>
      <c r="AG88" s="14">
        <f>tax_tables!$B$25*MAX(0,MIN(Y88,tax_tables!$B$27*P88)-tax_tables!$B$26)+tax_tables!$B$28*MAX(0,MIN(Y88,tax_tables!$B$29*P88)-tax_tables!$B$27*P88)+tax_tables!$B$30*MIN(Y88,tax_tables!$B$31*P88)</f>
        <v/>
      </c>
      <c r="AH88" s="14">
        <f>AF88+AG88</f>
        <v/>
      </c>
      <c r="AI88" s="14">
        <f>$B$13*AE88</f>
        <v/>
      </c>
      <c r="AJ88" s="14">
        <f>AD88-Z88-AA88-AH88-AI88</f>
        <v/>
      </c>
      <c r="AK88" s="14">
        <f>SUMPRODUCT(($B$72:$B$77=A88)*($D$72:$D$77="Other taxable income")*$C$72:$C$77)*O88</f>
        <v/>
      </c>
      <c r="AL88" s="14">
        <f>SUMPRODUCT(($B$72:$B$77=A88)*($D$72:$D$77="Tax-free money in")*$C$72:$C$77)*O88</f>
        <v/>
      </c>
      <c r="AM88" s="14">
        <f>SUMPRODUCT(($B$72:$B$77=A88)*($D$72:$D$77="Expense")*$C$72:$C$77)*O88</f>
        <v/>
      </c>
      <c r="AN88" s="21">
        <f>IF(OR($B$64="",A88&lt;$B$64),1,0)</f>
        <v/>
      </c>
      <c r="AO88" s="14">
        <f>AR87</f>
        <v/>
      </c>
      <c r="AP88" s="14">
        <f>AN88*AO88*properties!$J$2</f>
        <v/>
      </c>
      <c r="AQ88" s="14">
        <f>AN88*MIN(properties!$K$2,AO88+AP88)</f>
        <v/>
      </c>
      <c r="AR88" s="14">
        <f>AN88*(AO88+AP88-AQ88)</f>
        <v/>
      </c>
      <c r="AS88" s="14">
        <f>AN88*properties!$G$2*O88</f>
        <v/>
      </c>
      <c r="AT88" s="14">
        <f>(1-AN88)*$E$64*O88</f>
        <v/>
      </c>
      <c r="AU88" s="14">
        <f>AQ88+AS88+AT88</f>
        <v/>
      </c>
      <c r="AV88" s="14">
        <f>SUMIF(budget!$A$2:$A$300,"household",budget!$F$2:$F$300)*O88*IF(N88="",1,N88)</f>
        <v/>
      </c>
      <c r="AW88" s="14">
        <f>SUMPRODUCT((other_budget!$C$2:$C$30&lt;=A88)*(other_budget!$D$2:$D$30&gt;=A88)*other_budget!$B$2:$B$30)*O88</f>
        <v/>
      </c>
      <c r="AX88" s="14">
        <f>SUMPRODUCT((kids_budget!$D$2:$D$40&lt;=A88)*(kids_budget!$E$2:$E$40&gt;=A88)*(kids_budget!$G$2:$G$40&lt;&gt;"college_funds")*kids_budget!$C$2:$C$40*((kids_budget!$F$2:$F$40="college")*S88+(kids_budget!$F$2:$F$40&lt;&gt;"college")*O88))</f>
        <v/>
      </c>
      <c r="AY88" s="14">
        <f>SUMPRODUCT((kids_budget!$D$2:$D$40&lt;=A88)*(kids_budget!$E$2:$E$40&gt;=A88)*(kids_budget!$G$2:$G$40="college_funds")*kids_budget!$C$2:$C$40*((kids_budget!$F$2:$F$40="college")*S88+(kids_budget!$F$2:$F$40&lt;&gt;"college")*O88))</f>
        <v/>
      </c>
      <c r="AZ88" s="14">
        <f>BC87</f>
        <v/>
      </c>
      <c r="BA88" s="14">
        <f>MIN(AY88,AZ88*(1+M88))</f>
        <v/>
      </c>
      <c r="BB88" s="14">
        <f>AY88-BA88</f>
        <v/>
      </c>
      <c r="BC88" s="14">
        <f>AZ88*(1+M88)-BA88</f>
        <v/>
      </c>
      <c r="BD88" s="14">
        <f>W88*healthcare!$B$2*R88</f>
        <v/>
      </c>
      <c r="BE88" s="21">
        <f>(1-W88)*2</f>
        <v/>
      </c>
      <c r="BF88" s="14">
        <f>BE88*healthcare!$B$3*12*R88</f>
        <v/>
      </c>
      <c r="BG88" s="14">
        <f>BE88*healthcare!$B$4*R88</f>
        <v/>
      </c>
      <c r="BH88" s="21">
        <f>AND(B88&gt;=$B$44,B88&lt;$B$44+$B$45)*1+AND(C88&gt;=$B$46,C88&lt;$B$46+$B$47)*1</f>
        <v/>
      </c>
      <c r="BI88" s="14">
        <f>BH88*$B$48*T88</f>
        <v/>
      </c>
      <c r="BJ88" s="14">
        <f>BD88+BF88+BG88+BI88</f>
        <v/>
      </c>
      <c r="BK88" s="14">
        <f>SUMPRODUCT((1-($B$65:$B$68&gt;0)*(A88&gt;=$B$65:$B$68))*(1-(($C$65:$C$68&gt;0)*(A88&gt;=$C$65:$C$68)))*(properties!$L$3:$L$6-properties!$M$3:$M$6))*O88+SUMPRODUCT((1-($B$65:$B$68&gt;0)*(A88&gt;=$B$65:$B$68))*(($C$65:$C$68&gt;0)*(A88&gt;=$C$65:$C$68))*($D$65:$D$68-$E$65:$E$68))*O88</f>
        <v/>
      </c>
      <c r="BL88" s="14">
        <f>SUMPRODUCT((1-($B$65:$B$68&gt;0)*(A88&gt;=$B$65:$B$68))*properties!$N$3:$N$6*(A88&lt;=properties!$O$3:$O$6))</f>
        <v/>
      </c>
      <c r="BM88" s="14">
        <f>MAX(0,BK88-BL88)</f>
        <v/>
      </c>
      <c r="BN88" s="14">
        <f>SUMPRODUCT(($B$64:$B$68=A88)*$G$64:$G$68)</f>
        <v/>
      </c>
      <c r="BO88" s="14">
        <f>SUMPRODUCT(($B$64:$B$68=A88)*$H$64:$H$68)</f>
        <v/>
      </c>
      <c r="BP88" s="14">
        <f>SUMPRODUCT(($B$64:$B$68=A88)*$I$64:$I$68)</f>
        <v/>
      </c>
      <c r="BQ88" s="14">
        <f>AN88*properties!$C$2*(1+properties!$D$2)^(A88-household!$B$4+1)</f>
        <v/>
      </c>
      <c r="BR88" s="14">
        <f>SUMPRODUCT((1-($B$65:$B$68&gt;0)*(A88&gt;=$B$65:$B$68))*properties!$C$3:$C$6*(1+properties!$D$3:$D$6)^(A88-household!$B$4+1))</f>
        <v/>
      </c>
      <c r="BS88" s="14">
        <f>IF(A88&gt;=household!$B$6+$B$26,household!$B$11*12*$B$30*O88,0)</f>
        <v/>
      </c>
      <c r="BT88" s="14">
        <f>IF(A88&gt;=household!$B$9+$B$27,household!$B$12*12*$B$31*O88,0)</f>
        <v/>
      </c>
      <c r="BU88" s="14">
        <f>IF(A88&gt;=household!$B$6+$B$28,tax_tables!$B$19*12*P88*MIN(1,household!$B$13/40)*$B$32*(1+tax_tables!$B$20*(B88&gt;=75)),0)</f>
        <v/>
      </c>
      <c r="BV88" s="14">
        <f>IF(A88&gt;=household!$B$9+$B$29,tax_tables!$B$19*12*P88*MIN(1,household!$B$14/40)*$B$33*(1+tax_tables!$B$20*(C88&gt;=75)),0)</f>
        <v/>
      </c>
      <c r="BW88" s="14">
        <f>IF(AND($B$36&lt;&gt;0,A88&gt;=household!$B$6+$B$37),$B$36*(1+$B$17)^(MAX(household!$B$6+$B$37,household!$B$4-1)-household!$B$4+1)*(1+$B$40*$B$17)^(A88-MAX(household!$B$6+$B$37,household!$B$4-1)),0)</f>
        <v/>
      </c>
      <c r="BX88" s="14">
        <f>IF(AND($B$38&lt;&gt;0,A88&gt;=household!$B$9+$B$39),$B$38*(1+$B$17)^(MAX(household!$B$9+$B$39,household!$B$4-1)-household!$B$4+1)*(1+$B$40*$B$17)^(A88-MAX(household!$B$9+$B$39,household!$B$4-1)),0)</f>
        <v/>
      </c>
      <c r="BY88" s="14">
        <f>CZ87</f>
        <v/>
      </c>
      <c r="BZ88" s="14">
        <f>DA87</f>
        <v/>
      </c>
      <c r="CA88" s="14">
        <f>$B$19*BY88</f>
        <v/>
      </c>
      <c r="CB88" s="14">
        <f>DB87</f>
        <v/>
      </c>
      <c r="CC88" s="14">
        <f>DC87</f>
        <v/>
      </c>
      <c r="CD88" s="14">
        <f>IF(B88&gt;=tax_tables!$B$46,MAX(0,CB88)*INDEX(tax_tables!$N$5:$N$54,MATCH(MIN(B88-1,120),tax_tables!$M$5:$M$54,0)),0)</f>
        <v/>
      </c>
      <c r="CE88" s="14">
        <f>IF(C88&gt;=tax_tables!$B$46,MAX(0,CC88)*INDEX(tax_tables!$N$5:$N$54,MATCH(MIN(C88-1,120),tax_tables!$M$5:$M$54,0)),0)</f>
        <v/>
      </c>
      <c r="CF88" s="14">
        <f>DD87</f>
        <v/>
      </c>
      <c r="CG88" s="14">
        <f>IF(OR($B$52="",$B$53=""),0,IF(AND(A88&gt;=$B$52,A88&lt;=$B$53),$B$51*O88,0))</f>
        <v/>
      </c>
      <c r="CH88" s="14">
        <f>MAX(0,CB88*(1+M88)-CD88)</f>
        <v/>
      </c>
      <c r="CI88" s="14">
        <f>MAX(0,CC88*(1+M88)-CE88)</f>
        <v/>
      </c>
      <c r="CJ88" s="14">
        <f>MIN(CG88,CH88+CI88)</f>
        <v/>
      </c>
      <c r="CK88" s="14">
        <f>IF(CH88+CI88&gt;1,CJ88*CH88/(CH88+CI88),0)</f>
        <v/>
      </c>
      <c r="CL88" s="14">
        <f>CJ88-CK88</f>
        <v/>
      </c>
      <c r="CM88" s="14">
        <f>CM87-CW87+CU87+tax_tables!$B$32*P88*2</f>
        <v/>
      </c>
      <c r="CN88" s="14">
        <f>EC87-AI87</f>
        <v/>
      </c>
      <c r="CO88" s="14">
        <f>AJ88+F88+BW88+BX88+BK88+CA88+CD88+CE88+BN88+AK88+AL88+CJ88</f>
        <v/>
      </c>
      <c r="CP88" s="14">
        <f>D88+CN88-CO88</f>
        <v/>
      </c>
      <c r="CQ88" s="14">
        <f>MAX(0,MIN(CP88,BY88*(1+M88-$B$19)))</f>
        <v/>
      </c>
      <c r="CR88" s="14">
        <f>MAX(0,MIN(CP88-CQ88,(CH88-CK88)+(CI88-CL88)))</f>
        <v/>
      </c>
      <c r="CS88" s="14">
        <f>IF((CH88-CK88)+(CI88-CL88)&gt;1,CR88*(CH88-CK88)/((CH88-CK88)+(CI88-CL88)),0)</f>
        <v/>
      </c>
      <c r="CT88" s="14">
        <f>CR88-CS88</f>
        <v/>
      </c>
      <c r="CU88" s="14">
        <f>MAX(0,MIN(CP88-CQ88-CR88,CF88*(1+M88)))</f>
        <v/>
      </c>
      <c r="CV88" s="14">
        <f>MAX(0,-CP88)</f>
        <v/>
      </c>
      <c r="CW88" s="14">
        <f>MIN(CV88,MAX(0,CM88))</f>
        <v/>
      </c>
      <c r="CX88" s="22">
        <f>IF(BY88&gt;0,MAX(0,1-BZ88/BY88),0)</f>
        <v/>
      </c>
      <c r="CY88" s="14">
        <f>CQ88*CX88</f>
        <v/>
      </c>
      <c r="CZ88" s="14">
        <f>BY88*(1+M88-$B$19)-CQ88+(CV88-CW88)</f>
        <v/>
      </c>
      <c r="DA88" s="14">
        <f>BZ88-(CQ88-CY88)+(CV88-CW88)</f>
        <v/>
      </c>
      <c r="DB88" s="14">
        <f>CB88*(1+M88)-CD88-CS88-CK88+Z88+AB88</f>
        <v/>
      </c>
      <c r="DC88" s="14">
        <f>CC88*(1+M88)-CE88-CT88-CL88+AA88+AC88</f>
        <v/>
      </c>
      <c r="DD88" s="14">
        <f>CF88*(1+M88)-CU88+CW88</f>
        <v/>
      </c>
      <c r="DE88" s="14">
        <f>CD88+CK88+CS88</f>
        <v/>
      </c>
      <c r="DF88" s="14">
        <f>CA88*household!$B$15*$B$20*(1+tax_tables!$B$17)</f>
        <v/>
      </c>
      <c r="DG88" s="14">
        <f>X88+BS88+BU88+BW88+DE88+DF88+CA88*household!$B$15*(1-$B$20)+(CY88+BO88)*household!$B$15*tax_tables!$B$18+(BP88+BM88+AK88)*household!$B$15-Z88</f>
        <v/>
      </c>
      <c r="DH88" s="14">
        <f>CE88+CL88+CT88</f>
        <v/>
      </c>
      <c r="DI88" s="14">
        <f>CA88*(1-household!$B$15)*$B$20*(1+tax_tables!$B$17)</f>
        <v/>
      </c>
      <c r="DJ88" s="14">
        <f>Y88+BT88+BV88+BX88+DH88+DI88+CA88*(1-household!$B$15)*(1-$B$20)+(CY88+BO88)*(1-household!$B$15)*tax_tables!$B$18+(BP88+BM88+AK88)*(1-household!$B$15)-AA88</f>
        <v/>
      </c>
      <c r="DK88" s="14">
        <f>IF((DG88&gt;=DJ88),MIN(0.5*(BW88+IF(B88&gt;=65,DE88,0)),MAX(0,(DG88-DJ88)/2)),MIN(0.5*(BX88+IF(C88&gt;=65,DH88,0)),MAX(0,(DJ88-DG88)/2)))</f>
        <v/>
      </c>
      <c r="DL88" s="14">
        <f>DG88+IF((DG88&gt;=DJ88),-DK88,DK88)</f>
        <v/>
      </c>
      <c r="DM88" s="14">
        <f>BW88+IF(B88&gt;=65,DE88,0)+IF((DG88&gt;=DJ88),-DK88,DK88)</f>
        <v/>
      </c>
      <c r="DN88" s="14">
        <f>MIN(BU88,tax_tables!$B$22*MAX(0,DL88-tax_tables!$B$21*P88))</f>
        <v/>
      </c>
      <c r="DO88" s="14">
        <f>MAX(0,DL88-DN88)</f>
        <v/>
      </c>
      <c r="DP88" s="14">
        <f>DJ88+IF((DG88&gt;=DJ88),DK88,-DK88)</f>
        <v/>
      </c>
      <c r="DQ88" s="14">
        <f>BX88+IF(C88&gt;=65,DH88,0)+IF((DG88&gt;=DJ88),DK88,-DK88)</f>
        <v/>
      </c>
      <c r="DR88" s="14">
        <f>MIN(BV88,tax_tables!$B$22*MAX(0,DP88-tax_tables!$B$21*P88))</f>
        <v/>
      </c>
      <c r="DS88" s="14">
        <f>MAX(0,DP88-DR88)</f>
        <v/>
      </c>
      <c r="DT88" s="14">
        <f>BJ88-BD88</f>
        <v/>
      </c>
      <c r="DU88" s="14">
        <f>(tax_tables!$B$6-(tax_tables!$B$6-tax_tables!$B$7)*MIN(1,MAX(0,(DL88-tax_tables!$B$8*P88)/((tax_tables!$B$9-tax_tables!$B$8)*P88))))*P88+(B88&gt;=65)*MAX(0,tax_tables!$B$10*P88-tax_tables!$B$12*MAX(0,DL88-tax_tables!$B$11*P88))+MIN(tax_tables!$B$13,DM88)+MIN(tax_tables!$B$14*P88,X88)+AF88+(DL88&lt;=DP88)*MAX(0,DT88-MIN(0.03*DL88,tax_tables!$B$15*P88))</f>
        <v/>
      </c>
      <c r="DV88" s="14">
        <f>MAX(0,SUMPRODUCT((DO88&gt;tax_tables!$E$5:$E$16*P88)*(DO88-tax_tables!$E$5:$E$16*P88)*tax_tables!$G$5:$G$16)-tax_tables!$B$5*DU88-tax_tables!$B$16*DF88)</f>
        <v/>
      </c>
      <c r="DW88" s="14">
        <f>tax_tables!$B$35*Q88+(B88&gt;=65)*MAX(0,tax_tables!$B$36*Q88-tax_tables!$B$12*MAX(0,DL88-tax_tables!$B$37*Q88))+MIN(tax_tables!$B$38,DM88)+AF88+(DL88&lt;=DP88)*MAX(0,DT88-MIN(0.03*DL88,tax_tables!$B$39*Q88))</f>
        <v/>
      </c>
      <c r="DX88" s="14">
        <f>MAX(0,SUMPRODUCT((DO88&gt;tax_tables!$I$5:$I$16*Q88)*(DO88-tax_tables!$I$5:$I$16*Q88)*tax_tables!$K$5:$K$16)-tax_tables!$B$34*DW88-tax_tables!$B$40*DF88-MAX(0,tax_tables!$B$41*Q88-tax_tables!$B$43*MAX(0,DL88-tax_tables!$B$42*Q88)))</f>
        <v/>
      </c>
      <c r="DY88" s="14">
        <f>(tax_tables!$B$6-(tax_tables!$B$6-tax_tables!$B$7)*MIN(1,MAX(0,(DP88-tax_tables!$B$8*P88)/((tax_tables!$B$9-tax_tables!$B$8)*P88))))*P88+(C88&gt;=65)*MAX(0,tax_tables!$B$10*P88-tax_tables!$B$12*MAX(0,DP88-tax_tables!$B$11*P88))+MIN(tax_tables!$B$13,DQ88)+MIN(tax_tables!$B$14*P88,Y88)+AG88+(DL88&gt;DP88)*MAX(0,DT88-MIN(0.03*DP88,tax_tables!$B$15*P88))</f>
        <v/>
      </c>
      <c r="DZ88" s="14">
        <f>MAX(0,SUMPRODUCT((DS88&gt;tax_tables!$E$5:$E$16*P88)*(DS88-tax_tables!$E$5:$E$16*P88)*tax_tables!$G$5:$G$16)-tax_tables!$B$5*DY88-tax_tables!$B$16*DI88)</f>
        <v/>
      </c>
      <c r="EA88" s="14">
        <f>tax_tables!$B$35*Q88+(C88&gt;=65)*MAX(0,tax_tables!$B$36*Q88-tax_tables!$B$12*MAX(0,DP88-tax_tables!$B$37*Q88))+MIN(tax_tables!$B$38,DQ88)+AG88+(DL88&gt;DP88)*MAX(0,DT88-MIN(0.03*DP88,tax_tables!$B$39*Q88))</f>
        <v/>
      </c>
      <c r="EB88" s="14">
        <f>MAX(0,SUMPRODUCT((DS88&gt;tax_tables!$I$5:$I$16*Q88)*(DS88-tax_tables!$I$5:$I$16*Q88)*tax_tables!$K$5:$K$16)-tax_tables!$B$34*EA88-tax_tables!$B$40*DI88-MAX(0,tax_tables!$B$41*Q88-tax_tables!$B$43*MAX(0,DP88-tax_tables!$B$42*Q88)))</f>
        <v/>
      </c>
      <c r="EC88" s="14">
        <f>DV88+DZ88+DX88+EB88+DN88+DR88</f>
        <v/>
      </c>
      <c r="ED88" s="14">
        <f>CZ88+DB88+DC88+DD88</f>
        <v/>
      </c>
      <c r="EE88" s="14">
        <f>ED88+BQ88-AR88+BR88</f>
        <v/>
      </c>
    </row>
    <row r="89">
      <c r="A89" s="21">
        <f>A88+1</f>
        <v/>
      </c>
      <c r="B89" s="21">
        <f>A89-household!$B$6</f>
        <v/>
      </c>
      <c r="C89" s="21">
        <f>A89-household!$B$9</f>
        <v/>
      </c>
      <c r="D89" s="14">
        <f>AU89+AV89+AW89+AX89+BB89+BJ89+AM89</f>
        <v/>
      </c>
      <c r="E89" s="14">
        <f>CN89+AI89+AH89</f>
        <v/>
      </c>
      <c r="F89" s="14">
        <f>BS89+BT89+BU89+BV89</f>
        <v/>
      </c>
      <c r="G89" s="14">
        <f>CQ89+CR89+CU89+CD89+CE89+CA89-CV89+CJ89+CW89</f>
        <v/>
      </c>
      <c r="H89" s="22">
        <f>IF(BY89+CB89+CC89+CF89&lt;=0,"",G89/(BY89+CB89+CC89+CF89))</f>
        <v/>
      </c>
      <c r="I89" s="23">
        <f>ED89/O89</f>
        <v/>
      </c>
      <c r="J89" s="23">
        <f>EE89/O89</f>
        <v/>
      </c>
      <c r="K89" s="14">
        <f>MAX(0,CP89-CQ89-CR89-CU89)</f>
        <v/>
      </c>
      <c r="L89" s="10" t="n"/>
      <c r="M89" s="22">
        <f>IF(L89="",$B$18,L89)</f>
        <v/>
      </c>
      <c r="N89" s="13" t="n"/>
      <c r="O89" s="12">
        <f>(1+$B$17)^(A89-household!$B$4+1)</f>
        <v/>
      </c>
      <c r="P89" s="12">
        <f>(1+$B$17)^(A89-tax_tables!$B$4)</f>
        <v/>
      </c>
      <c r="Q89" s="12">
        <f>(1+$B$17)^(A89-tax_tables!$B$4-MAX(0,MIN(A89,tax_tables!$B$45)-tax_tables!$B$44+1))</f>
        <v/>
      </c>
      <c r="R89" s="12">
        <f>(1+$B$21)^(A89-household!$B$4+1)</f>
        <v/>
      </c>
      <c r="S89" s="12">
        <f>(1+$B$22)^(A89-household!$B$4+1)</f>
        <v/>
      </c>
      <c r="T89" s="12">
        <f>(1+$B$23)^(A89-household!$B$4+1)</f>
        <v/>
      </c>
      <c r="U89" s="21">
        <f>IF(A89&lt;$B$5,1,0)</f>
        <v/>
      </c>
      <c r="V89" s="21">
        <f>IF(A89&lt;$B$6,1,0)</f>
        <v/>
      </c>
      <c r="W89" s="21">
        <f>IF(U89+V89&gt;0,1,0)</f>
        <v/>
      </c>
      <c r="X89" s="14">
        <f>U89*$B$7*O89+SUMPRODUCT(($B$72:$B$77=A89)*($D$72:$D$77="Wages: person 1")*$C$72:$C$77)*O89</f>
        <v/>
      </c>
      <c r="Y89" s="14">
        <f>V89*$B$8*O89+SUMPRODUCT(($B$72:$B$77=A89)*($D$72:$D$77="Wages: person 2")*$C$72:$C$77)*O89</f>
        <v/>
      </c>
      <c r="Z89" s="14">
        <f>U89*$B$9*O89</f>
        <v/>
      </c>
      <c r="AA89" s="14">
        <f>V89*$B$10*O89</f>
        <v/>
      </c>
      <c r="AB89" s="14">
        <f>U89*$B$11*O89</f>
        <v/>
      </c>
      <c r="AC89" s="14">
        <f>V89*$B$12*O89</f>
        <v/>
      </c>
      <c r="AD89" s="14">
        <f>X89+Y89</f>
        <v/>
      </c>
      <c r="AE89" s="14">
        <f>AD89-Z89-AA89</f>
        <v/>
      </c>
      <c r="AF89" s="14">
        <f>tax_tables!$B$25*MAX(0,MIN(X89,tax_tables!$B$27*P89)-tax_tables!$B$26)+tax_tables!$B$28*MAX(0,MIN(X89,tax_tables!$B$29*P89)-tax_tables!$B$27*P89)+tax_tables!$B$30*MIN(X89,tax_tables!$B$31*P89)</f>
        <v/>
      </c>
      <c r="AG89" s="14">
        <f>tax_tables!$B$25*MAX(0,MIN(Y89,tax_tables!$B$27*P89)-tax_tables!$B$26)+tax_tables!$B$28*MAX(0,MIN(Y89,tax_tables!$B$29*P89)-tax_tables!$B$27*P89)+tax_tables!$B$30*MIN(Y89,tax_tables!$B$31*P89)</f>
        <v/>
      </c>
      <c r="AH89" s="14">
        <f>AF89+AG89</f>
        <v/>
      </c>
      <c r="AI89" s="14">
        <f>$B$13*AE89</f>
        <v/>
      </c>
      <c r="AJ89" s="14">
        <f>AD89-Z89-AA89-AH89-AI89</f>
        <v/>
      </c>
      <c r="AK89" s="14">
        <f>SUMPRODUCT(($B$72:$B$77=A89)*($D$72:$D$77="Other taxable income")*$C$72:$C$77)*O89</f>
        <v/>
      </c>
      <c r="AL89" s="14">
        <f>SUMPRODUCT(($B$72:$B$77=A89)*($D$72:$D$77="Tax-free money in")*$C$72:$C$77)*O89</f>
        <v/>
      </c>
      <c r="AM89" s="14">
        <f>SUMPRODUCT(($B$72:$B$77=A89)*($D$72:$D$77="Expense")*$C$72:$C$77)*O89</f>
        <v/>
      </c>
      <c r="AN89" s="21">
        <f>IF(OR($B$64="",A89&lt;$B$64),1,0)</f>
        <v/>
      </c>
      <c r="AO89" s="14">
        <f>AR88</f>
        <v/>
      </c>
      <c r="AP89" s="14">
        <f>AN89*AO89*properties!$J$2</f>
        <v/>
      </c>
      <c r="AQ89" s="14">
        <f>AN89*MIN(properties!$K$2,AO89+AP89)</f>
        <v/>
      </c>
      <c r="AR89" s="14">
        <f>AN89*(AO89+AP89-AQ89)</f>
        <v/>
      </c>
      <c r="AS89" s="14">
        <f>AN89*properties!$G$2*O89</f>
        <v/>
      </c>
      <c r="AT89" s="14">
        <f>(1-AN89)*$E$64*O89</f>
        <v/>
      </c>
      <c r="AU89" s="14">
        <f>AQ89+AS89+AT89</f>
        <v/>
      </c>
      <c r="AV89" s="14">
        <f>SUMIF(budget!$A$2:$A$300,"household",budget!$F$2:$F$300)*O89*IF(N89="",1,N89)</f>
        <v/>
      </c>
      <c r="AW89" s="14">
        <f>SUMPRODUCT((other_budget!$C$2:$C$30&lt;=A89)*(other_budget!$D$2:$D$30&gt;=A89)*other_budget!$B$2:$B$30)*O89</f>
        <v/>
      </c>
      <c r="AX89" s="14">
        <f>SUMPRODUCT((kids_budget!$D$2:$D$40&lt;=A89)*(kids_budget!$E$2:$E$40&gt;=A89)*(kids_budget!$G$2:$G$40&lt;&gt;"college_funds")*kids_budget!$C$2:$C$40*((kids_budget!$F$2:$F$40="college")*S89+(kids_budget!$F$2:$F$40&lt;&gt;"college")*O89))</f>
        <v/>
      </c>
      <c r="AY89" s="14">
        <f>SUMPRODUCT((kids_budget!$D$2:$D$40&lt;=A89)*(kids_budget!$E$2:$E$40&gt;=A89)*(kids_budget!$G$2:$G$40="college_funds")*kids_budget!$C$2:$C$40*((kids_budget!$F$2:$F$40="college")*S89+(kids_budget!$F$2:$F$40&lt;&gt;"college")*O89))</f>
        <v/>
      </c>
      <c r="AZ89" s="14">
        <f>BC88</f>
        <v/>
      </c>
      <c r="BA89" s="14">
        <f>MIN(AY89,AZ89*(1+M89))</f>
        <v/>
      </c>
      <c r="BB89" s="14">
        <f>AY89-BA89</f>
        <v/>
      </c>
      <c r="BC89" s="14">
        <f>AZ89*(1+M89)-BA89</f>
        <v/>
      </c>
      <c r="BD89" s="14">
        <f>W89*healthcare!$B$2*R89</f>
        <v/>
      </c>
      <c r="BE89" s="21">
        <f>(1-W89)*2</f>
        <v/>
      </c>
      <c r="BF89" s="14">
        <f>BE89*healthcare!$B$3*12*R89</f>
        <v/>
      </c>
      <c r="BG89" s="14">
        <f>BE89*healthcare!$B$4*R89</f>
        <v/>
      </c>
      <c r="BH89" s="21">
        <f>AND(B89&gt;=$B$44,B89&lt;$B$44+$B$45)*1+AND(C89&gt;=$B$46,C89&lt;$B$46+$B$47)*1</f>
        <v/>
      </c>
      <c r="BI89" s="14">
        <f>BH89*$B$48*T89</f>
        <v/>
      </c>
      <c r="BJ89" s="14">
        <f>BD89+BF89+BG89+BI89</f>
        <v/>
      </c>
      <c r="BK89" s="14">
        <f>SUMPRODUCT((1-($B$65:$B$68&gt;0)*(A89&gt;=$B$65:$B$68))*(1-(($C$65:$C$68&gt;0)*(A89&gt;=$C$65:$C$68)))*(properties!$L$3:$L$6-properties!$M$3:$M$6))*O89+SUMPRODUCT((1-($B$65:$B$68&gt;0)*(A89&gt;=$B$65:$B$68))*(($C$65:$C$68&gt;0)*(A89&gt;=$C$65:$C$68))*($D$65:$D$68-$E$65:$E$68))*O89</f>
        <v/>
      </c>
      <c r="BL89" s="14">
        <f>SUMPRODUCT((1-($B$65:$B$68&gt;0)*(A89&gt;=$B$65:$B$68))*properties!$N$3:$N$6*(A89&lt;=properties!$O$3:$O$6))</f>
        <v/>
      </c>
      <c r="BM89" s="14">
        <f>MAX(0,BK89-BL89)</f>
        <v/>
      </c>
      <c r="BN89" s="14">
        <f>SUMPRODUCT(($B$64:$B$68=A89)*$G$64:$G$68)</f>
        <v/>
      </c>
      <c r="BO89" s="14">
        <f>SUMPRODUCT(($B$64:$B$68=A89)*$H$64:$H$68)</f>
        <v/>
      </c>
      <c r="BP89" s="14">
        <f>SUMPRODUCT(($B$64:$B$68=A89)*$I$64:$I$68)</f>
        <v/>
      </c>
      <c r="BQ89" s="14">
        <f>AN89*properties!$C$2*(1+properties!$D$2)^(A89-household!$B$4+1)</f>
        <v/>
      </c>
      <c r="BR89" s="14">
        <f>SUMPRODUCT((1-($B$65:$B$68&gt;0)*(A89&gt;=$B$65:$B$68))*properties!$C$3:$C$6*(1+properties!$D$3:$D$6)^(A89-household!$B$4+1))</f>
        <v/>
      </c>
      <c r="BS89" s="14">
        <f>IF(A89&gt;=household!$B$6+$B$26,household!$B$11*12*$B$30*O89,0)</f>
        <v/>
      </c>
      <c r="BT89" s="14">
        <f>IF(A89&gt;=household!$B$9+$B$27,household!$B$12*12*$B$31*O89,0)</f>
        <v/>
      </c>
      <c r="BU89" s="14">
        <f>IF(A89&gt;=household!$B$6+$B$28,tax_tables!$B$19*12*P89*MIN(1,household!$B$13/40)*$B$32*(1+tax_tables!$B$20*(B89&gt;=75)),0)</f>
        <v/>
      </c>
      <c r="BV89" s="14">
        <f>IF(A89&gt;=household!$B$9+$B$29,tax_tables!$B$19*12*P89*MIN(1,household!$B$14/40)*$B$33*(1+tax_tables!$B$20*(C89&gt;=75)),0)</f>
        <v/>
      </c>
      <c r="BW89" s="14">
        <f>IF(AND($B$36&lt;&gt;0,A89&gt;=household!$B$6+$B$37),$B$36*(1+$B$17)^(MAX(household!$B$6+$B$37,household!$B$4-1)-household!$B$4+1)*(1+$B$40*$B$17)^(A89-MAX(household!$B$6+$B$37,household!$B$4-1)),0)</f>
        <v/>
      </c>
      <c r="BX89" s="14">
        <f>IF(AND($B$38&lt;&gt;0,A89&gt;=household!$B$9+$B$39),$B$38*(1+$B$17)^(MAX(household!$B$9+$B$39,household!$B$4-1)-household!$B$4+1)*(1+$B$40*$B$17)^(A89-MAX(household!$B$9+$B$39,household!$B$4-1)),0)</f>
        <v/>
      </c>
      <c r="BY89" s="14">
        <f>CZ88</f>
        <v/>
      </c>
      <c r="BZ89" s="14">
        <f>DA88</f>
        <v/>
      </c>
      <c r="CA89" s="14">
        <f>$B$19*BY89</f>
        <v/>
      </c>
      <c r="CB89" s="14">
        <f>DB88</f>
        <v/>
      </c>
      <c r="CC89" s="14">
        <f>DC88</f>
        <v/>
      </c>
      <c r="CD89" s="14">
        <f>IF(B89&gt;=tax_tables!$B$46,MAX(0,CB89)*INDEX(tax_tables!$N$5:$N$54,MATCH(MIN(B89-1,120),tax_tables!$M$5:$M$54,0)),0)</f>
        <v/>
      </c>
      <c r="CE89" s="14">
        <f>IF(C89&gt;=tax_tables!$B$46,MAX(0,CC89)*INDEX(tax_tables!$N$5:$N$54,MATCH(MIN(C89-1,120),tax_tables!$M$5:$M$54,0)),0)</f>
        <v/>
      </c>
      <c r="CF89" s="14">
        <f>DD88</f>
        <v/>
      </c>
      <c r="CG89" s="14">
        <f>IF(OR($B$52="",$B$53=""),0,IF(AND(A89&gt;=$B$52,A89&lt;=$B$53),$B$51*O89,0))</f>
        <v/>
      </c>
      <c r="CH89" s="14">
        <f>MAX(0,CB89*(1+M89)-CD89)</f>
        <v/>
      </c>
      <c r="CI89" s="14">
        <f>MAX(0,CC89*(1+M89)-CE89)</f>
        <v/>
      </c>
      <c r="CJ89" s="14">
        <f>MIN(CG89,CH89+CI89)</f>
        <v/>
      </c>
      <c r="CK89" s="14">
        <f>IF(CH89+CI89&gt;1,CJ89*CH89/(CH89+CI89),0)</f>
        <v/>
      </c>
      <c r="CL89" s="14">
        <f>CJ89-CK89</f>
        <v/>
      </c>
      <c r="CM89" s="14">
        <f>CM88-CW88+CU88+tax_tables!$B$32*P89*2</f>
        <v/>
      </c>
      <c r="CN89" s="14">
        <f>EC88-AI88</f>
        <v/>
      </c>
      <c r="CO89" s="14">
        <f>AJ89+F89+BW89+BX89+BK89+CA89+CD89+CE89+BN89+AK89+AL89+CJ89</f>
        <v/>
      </c>
      <c r="CP89" s="14">
        <f>D89+CN89-CO89</f>
        <v/>
      </c>
      <c r="CQ89" s="14">
        <f>MAX(0,MIN(CP89,BY89*(1+M89-$B$19)))</f>
        <v/>
      </c>
      <c r="CR89" s="14">
        <f>MAX(0,MIN(CP89-CQ89,(CH89-CK89)+(CI89-CL89)))</f>
        <v/>
      </c>
      <c r="CS89" s="14">
        <f>IF((CH89-CK89)+(CI89-CL89)&gt;1,CR89*(CH89-CK89)/((CH89-CK89)+(CI89-CL89)),0)</f>
        <v/>
      </c>
      <c r="CT89" s="14">
        <f>CR89-CS89</f>
        <v/>
      </c>
      <c r="CU89" s="14">
        <f>MAX(0,MIN(CP89-CQ89-CR89,CF89*(1+M89)))</f>
        <v/>
      </c>
      <c r="CV89" s="14">
        <f>MAX(0,-CP89)</f>
        <v/>
      </c>
      <c r="CW89" s="14">
        <f>MIN(CV89,MAX(0,CM89))</f>
        <v/>
      </c>
      <c r="CX89" s="22">
        <f>IF(BY89&gt;0,MAX(0,1-BZ89/BY89),0)</f>
        <v/>
      </c>
      <c r="CY89" s="14">
        <f>CQ89*CX89</f>
        <v/>
      </c>
      <c r="CZ89" s="14">
        <f>BY89*(1+M89-$B$19)-CQ89+(CV89-CW89)</f>
        <v/>
      </c>
      <c r="DA89" s="14">
        <f>BZ89-(CQ89-CY89)+(CV89-CW89)</f>
        <v/>
      </c>
      <c r="DB89" s="14">
        <f>CB89*(1+M89)-CD89-CS89-CK89+Z89+AB89</f>
        <v/>
      </c>
      <c r="DC89" s="14">
        <f>CC89*(1+M89)-CE89-CT89-CL89+AA89+AC89</f>
        <v/>
      </c>
      <c r="DD89" s="14">
        <f>CF89*(1+M89)-CU89+CW89</f>
        <v/>
      </c>
      <c r="DE89" s="14">
        <f>CD89+CK89+CS89</f>
        <v/>
      </c>
      <c r="DF89" s="14">
        <f>CA89*household!$B$15*$B$20*(1+tax_tables!$B$17)</f>
        <v/>
      </c>
      <c r="DG89" s="14">
        <f>X89+BS89+BU89+BW89+DE89+DF89+CA89*household!$B$15*(1-$B$20)+(CY89+BO89)*household!$B$15*tax_tables!$B$18+(BP89+BM89+AK89)*household!$B$15-Z89</f>
        <v/>
      </c>
      <c r="DH89" s="14">
        <f>CE89+CL89+CT89</f>
        <v/>
      </c>
      <c r="DI89" s="14">
        <f>CA89*(1-household!$B$15)*$B$20*(1+tax_tables!$B$17)</f>
        <v/>
      </c>
      <c r="DJ89" s="14">
        <f>Y89+BT89+BV89+BX89+DH89+DI89+CA89*(1-household!$B$15)*(1-$B$20)+(CY89+BO89)*(1-household!$B$15)*tax_tables!$B$18+(BP89+BM89+AK89)*(1-household!$B$15)-AA89</f>
        <v/>
      </c>
      <c r="DK89" s="14">
        <f>IF((DG89&gt;=DJ89),MIN(0.5*(BW89+IF(B89&gt;=65,DE89,0)),MAX(0,(DG89-DJ89)/2)),MIN(0.5*(BX89+IF(C89&gt;=65,DH89,0)),MAX(0,(DJ89-DG89)/2)))</f>
        <v/>
      </c>
      <c r="DL89" s="14">
        <f>DG89+IF((DG89&gt;=DJ89),-DK89,DK89)</f>
        <v/>
      </c>
      <c r="DM89" s="14">
        <f>BW89+IF(B89&gt;=65,DE89,0)+IF((DG89&gt;=DJ89),-DK89,DK89)</f>
        <v/>
      </c>
      <c r="DN89" s="14">
        <f>MIN(BU89,tax_tables!$B$22*MAX(0,DL89-tax_tables!$B$21*P89))</f>
        <v/>
      </c>
      <c r="DO89" s="14">
        <f>MAX(0,DL89-DN89)</f>
        <v/>
      </c>
      <c r="DP89" s="14">
        <f>DJ89+IF((DG89&gt;=DJ89),DK89,-DK89)</f>
        <v/>
      </c>
      <c r="DQ89" s="14">
        <f>BX89+IF(C89&gt;=65,DH89,0)+IF((DG89&gt;=DJ89),DK89,-DK89)</f>
        <v/>
      </c>
      <c r="DR89" s="14">
        <f>MIN(BV89,tax_tables!$B$22*MAX(0,DP89-tax_tables!$B$21*P89))</f>
        <v/>
      </c>
      <c r="DS89" s="14">
        <f>MAX(0,DP89-DR89)</f>
        <v/>
      </c>
      <c r="DT89" s="14">
        <f>BJ89-BD89</f>
        <v/>
      </c>
      <c r="DU89" s="14">
        <f>(tax_tables!$B$6-(tax_tables!$B$6-tax_tables!$B$7)*MIN(1,MAX(0,(DL89-tax_tables!$B$8*P89)/((tax_tables!$B$9-tax_tables!$B$8)*P89))))*P89+(B89&gt;=65)*MAX(0,tax_tables!$B$10*P89-tax_tables!$B$12*MAX(0,DL89-tax_tables!$B$11*P89))+MIN(tax_tables!$B$13,DM89)+MIN(tax_tables!$B$14*P89,X89)+AF89+(DL89&lt;=DP89)*MAX(0,DT89-MIN(0.03*DL89,tax_tables!$B$15*P89))</f>
        <v/>
      </c>
      <c r="DV89" s="14">
        <f>MAX(0,SUMPRODUCT((DO89&gt;tax_tables!$E$5:$E$16*P89)*(DO89-tax_tables!$E$5:$E$16*P89)*tax_tables!$G$5:$G$16)-tax_tables!$B$5*DU89-tax_tables!$B$16*DF89)</f>
        <v/>
      </c>
      <c r="DW89" s="14">
        <f>tax_tables!$B$35*Q89+(B89&gt;=65)*MAX(0,tax_tables!$B$36*Q89-tax_tables!$B$12*MAX(0,DL89-tax_tables!$B$37*Q89))+MIN(tax_tables!$B$38,DM89)+AF89+(DL89&lt;=DP89)*MAX(0,DT89-MIN(0.03*DL89,tax_tables!$B$39*Q89))</f>
        <v/>
      </c>
      <c r="DX89" s="14">
        <f>MAX(0,SUMPRODUCT((DO89&gt;tax_tables!$I$5:$I$16*Q89)*(DO89-tax_tables!$I$5:$I$16*Q89)*tax_tables!$K$5:$K$16)-tax_tables!$B$34*DW89-tax_tables!$B$40*DF89-MAX(0,tax_tables!$B$41*Q89-tax_tables!$B$43*MAX(0,DL89-tax_tables!$B$42*Q89)))</f>
        <v/>
      </c>
      <c r="DY89" s="14">
        <f>(tax_tables!$B$6-(tax_tables!$B$6-tax_tables!$B$7)*MIN(1,MAX(0,(DP89-tax_tables!$B$8*P89)/((tax_tables!$B$9-tax_tables!$B$8)*P89))))*P89+(C89&gt;=65)*MAX(0,tax_tables!$B$10*P89-tax_tables!$B$12*MAX(0,DP89-tax_tables!$B$11*P89))+MIN(tax_tables!$B$13,DQ89)+MIN(tax_tables!$B$14*P89,Y89)+AG89+(DL89&gt;DP89)*MAX(0,DT89-MIN(0.03*DP89,tax_tables!$B$15*P89))</f>
        <v/>
      </c>
      <c r="DZ89" s="14">
        <f>MAX(0,SUMPRODUCT((DS89&gt;tax_tables!$E$5:$E$16*P89)*(DS89-tax_tables!$E$5:$E$16*P89)*tax_tables!$G$5:$G$16)-tax_tables!$B$5*DY89-tax_tables!$B$16*DI89)</f>
        <v/>
      </c>
      <c r="EA89" s="14">
        <f>tax_tables!$B$35*Q89+(C89&gt;=65)*MAX(0,tax_tables!$B$36*Q89-tax_tables!$B$12*MAX(0,DP89-tax_tables!$B$37*Q89))+MIN(tax_tables!$B$38,DQ89)+AG89+(DL89&gt;DP89)*MAX(0,DT89-MIN(0.03*DP89,tax_tables!$B$39*Q89))</f>
        <v/>
      </c>
      <c r="EB89" s="14">
        <f>MAX(0,SUMPRODUCT((DS89&gt;tax_tables!$I$5:$I$16*Q89)*(DS89-tax_tables!$I$5:$I$16*Q89)*tax_tables!$K$5:$K$16)-tax_tables!$B$34*EA89-tax_tables!$B$40*DI89-MAX(0,tax_tables!$B$41*Q89-tax_tables!$B$43*MAX(0,DP89-tax_tables!$B$42*Q89)))</f>
        <v/>
      </c>
      <c r="EC89" s="14">
        <f>DV89+DZ89+DX89+EB89+DN89+DR89</f>
        <v/>
      </c>
      <c r="ED89" s="14">
        <f>CZ89+DB89+DC89+DD89</f>
        <v/>
      </c>
      <c r="EE89" s="14">
        <f>ED89+BQ89-AR89+BR89</f>
        <v/>
      </c>
    </row>
    <row r="90">
      <c r="A90" s="21">
        <f>A89+1</f>
        <v/>
      </c>
      <c r="B90" s="21">
        <f>A90-household!$B$6</f>
        <v/>
      </c>
      <c r="C90" s="21">
        <f>A90-household!$B$9</f>
        <v/>
      </c>
      <c r="D90" s="14">
        <f>AU90+AV90+AW90+AX90+BB90+BJ90+AM90</f>
        <v/>
      </c>
      <c r="E90" s="14">
        <f>CN90+AI90+AH90</f>
        <v/>
      </c>
      <c r="F90" s="14">
        <f>BS90+BT90+BU90+BV90</f>
        <v/>
      </c>
      <c r="G90" s="14">
        <f>CQ90+CR90+CU90+CD90+CE90+CA90-CV90+CJ90+CW90</f>
        <v/>
      </c>
      <c r="H90" s="22">
        <f>IF(BY90+CB90+CC90+CF90&lt;=0,"",G90/(BY90+CB90+CC90+CF90))</f>
        <v/>
      </c>
      <c r="I90" s="23">
        <f>ED90/O90</f>
        <v/>
      </c>
      <c r="J90" s="23">
        <f>EE90/O90</f>
        <v/>
      </c>
      <c r="K90" s="14">
        <f>MAX(0,CP90-CQ90-CR90-CU90)</f>
        <v/>
      </c>
      <c r="L90" s="10" t="n"/>
      <c r="M90" s="22">
        <f>IF(L90="",$B$18,L90)</f>
        <v/>
      </c>
      <c r="N90" s="13" t="n"/>
      <c r="O90" s="12">
        <f>(1+$B$17)^(A90-household!$B$4+1)</f>
        <v/>
      </c>
      <c r="P90" s="12">
        <f>(1+$B$17)^(A90-tax_tables!$B$4)</f>
        <v/>
      </c>
      <c r="Q90" s="12">
        <f>(1+$B$17)^(A90-tax_tables!$B$4-MAX(0,MIN(A90,tax_tables!$B$45)-tax_tables!$B$44+1))</f>
        <v/>
      </c>
      <c r="R90" s="12">
        <f>(1+$B$21)^(A90-household!$B$4+1)</f>
        <v/>
      </c>
      <c r="S90" s="12">
        <f>(1+$B$22)^(A90-household!$B$4+1)</f>
        <v/>
      </c>
      <c r="T90" s="12">
        <f>(1+$B$23)^(A90-household!$B$4+1)</f>
        <v/>
      </c>
      <c r="U90" s="21">
        <f>IF(A90&lt;$B$5,1,0)</f>
        <v/>
      </c>
      <c r="V90" s="21">
        <f>IF(A90&lt;$B$6,1,0)</f>
        <v/>
      </c>
      <c r="W90" s="21">
        <f>IF(U90+V90&gt;0,1,0)</f>
        <v/>
      </c>
      <c r="X90" s="14">
        <f>U90*$B$7*O90+SUMPRODUCT(($B$72:$B$77=A90)*($D$72:$D$77="Wages: person 1")*$C$72:$C$77)*O90</f>
        <v/>
      </c>
      <c r="Y90" s="14">
        <f>V90*$B$8*O90+SUMPRODUCT(($B$72:$B$77=A90)*($D$72:$D$77="Wages: person 2")*$C$72:$C$77)*O90</f>
        <v/>
      </c>
      <c r="Z90" s="14">
        <f>U90*$B$9*O90</f>
        <v/>
      </c>
      <c r="AA90" s="14">
        <f>V90*$B$10*O90</f>
        <v/>
      </c>
      <c r="AB90" s="14">
        <f>U90*$B$11*O90</f>
        <v/>
      </c>
      <c r="AC90" s="14">
        <f>V90*$B$12*O90</f>
        <v/>
      </c>
      <c r="AD90" s="14">
        <f>X90+Y90</f>
        <v/>
      </c>
      <c r="AE90" s="14">
        <f>AD90-Z90-AA90</f>
        <v/>
      </c>
      <c r="AF90" s="14">
        <f>tax_tables!$B$25*MAX(0,MIN(X90,tax_tables!$B$27*P90)-tax_tables!$B$26)+tax_tables!$B$28*MAX(0,MIN(X90,tax_tables!$B$29*P90)-tax_tables!$B$27*P90)+tax_tables!$B$30*MIN(X90,tax_tables!$B$31*P90)</f>
        <v/>
      </c>
      <c r="AG90" s="14">
        <f>tax_tables!$B$25*MAX(0,MIN(Y90,tax_tables!$B$27*P90)-tax_tables!$B$26)+tax_tables!$B$28*MAX(0,MIN(Y90,tax_tables!$B$29*P90)-tax_tables!$B$27*P90)+tax_tables!$B$30*MIN(Y90,tax_tables!$B$31*P90)</f>
        <v/>
      </c>
      <c r="AH90" s="14">
        <f>AF90+AG90</f>
        <v/>
      </c>
      <c r="AI90" s="14">
        <f>$B$13*AE90</f>
        <v/>
      </c>
      <c r="AJ90" s="14">
        <f>AD90-Z90-AA90-AH90-AI90</f>
        <v/>
      </c>
      <c r="AK90" s="14">
        <f>SUMPRODUCT(($B$72:$B$77=A90)*($D$72:$D$77="Other taxable income")*$C$72:$C$77)*O90</f>
        <v/>
      </c>
      <c r="AL90" s="14">
        <f>SUMPRODUCT(($B$72:$B$77=A90)*($D$72:$D$77="Tax-free money in")*$C$72:$C$77)*O90</f>
        <v/>
      </c>
      <c r="AM90" s="14">
        <f>SUMPRODUCT(($B$72:$B$77=A90)*($D$72:$D$77="Expense")*$C$72:$C$77)*O90</f>
        <v/>
      </c>
      <c r="AN90" s="21">
        <f>IF(OR($B$64="",A90&lt;$B$64),1,0)</f>
        <v/>
      </c>
      <c r="AO90" s="14">
        <f>AR89</f>
        <v/>
      </c>
      <c r="AP90" s="14">
        <f>AN90*AO90*properties!$J$2</f>
        <v/>
      </c>
      <c r="AQ90" s="14">
        <f>AN90*MIN(properties!$K$2,AO90+AP90)</f>
        <v/>
      </c>
      <c r="AR90" s="14">
        <f>AN90*(AO90+AP90-AQ90)</f>
        <v/>
      </c>
      <c r="AS90" s="14">
        <f>AN90*properties!$G$2*O90</f>
        <v/>
      </c>
      <c r="AT90" s="14">
        <f>(1-AN90)*$E$64*O90</f>
        <v/>
      </c>
      <c r="AU90" s="14">
        <f>AQ90+AS90+AT90</f>
        <v/>
      </c>
      <c r="AV90" s="14">
        <f>SUMIF(budget!$A$2:$A$300,"household",budget!$F$2:$F$300)*O90*IF(N90="",1,N90)</f>
        <v/>
      </c>
      <c r="AW90" s="14">
        <f>SUMPRODUCT((other_budget!$C$2:$C$30&lt;=A90)*(other_budget!$D$2:$D$30&gt;=A90)*other_budget!$B$2:$B$30)*O90</f>
        <v/>
      </c>
      <c r="AX90" s="14">
        <f>SUMPRODUCT((kids_budget!$D$2:$D$40&lt;=A90)*(kids_budget!$E$2:$E$40&gt;=A90)*(kids_budget!$G$2:$G$40&lt;&gt;"college_funds")*kids_budget!$C$2:$C$40*((kids_budget!$F$2:$F$40="college")*S90+(kids_budget!$F$2:$F$40&lt;&gt;"college")*O90))</f>
        <v/>
      </c>
      <c r="AY90" s="14">
        <f>SUMPRODUCT((kids_budget!$D$2:$D$40&lt;=A90)*(kids_budget!$E$2:$E$40&gt;=A90)*(kids_budget!$G$2:$G$40="college_funds")*kids_budget!$C$2:$C$40*((kids_budget!$F$2:$F$40="college")*S90+(kids_budget!$F$2:$F$40&lt;&gt;"college")*O90))</f>
        <v/>
      </c>
      <c r="AZ90" s="14">
        <f>BC89</f>
        <v/>
      </c>
      <c r="BA90" s="14">
        <f>MIN(AY90,AZ90*(1+M90))</f>
        <v/>
      </c>
      <c r="BB90" s="14">
        <f>AY90-BA90</f>
        <v/>
      </c>
      <c r="BC90" s="14">
        <f>AZ90*(1+M90)-BA90</f>
        <v/>
      </c>
      <c r="BD90" s="14">
        <f>W90*healthcare!$B$2*R90</f>
        <v/>
      </c>
      <c r="BE90" s="21">
        <f>(1-W90)*2</f>
        <v/>
      </c>
      <c r="BF90" s="14">
        <f>BE90*healthcare!$B$3*12*R90</f>
        <v/>
      </c>
      <c r="BG90" s="14">
        <f>BE90*healthcare!$B$4*R90</f>
        <v/>
      </c>
      <c r="BH90" s="21">
        <f>AND(B90&gt;=$B$44,B90&lt;$B$44+$B$45)*1+AND(C90&gt;=$B$46,C90&lt;$B$46+$B$47)*1</f>
        <v/>
      </c>
      <c r="BI90" s="14">
        <f>BH90*$B$48*T90</f>
        <v/>
      </c>
      <c r="BJ90" s="14">
        <f>BD90+BF90+BG90+BI90</f>
        <v/>
      </c>
      <c r="BK90" s="14">
        <f>SUMPRODUCT((1-($B$65:$B$68&gt;0)*(A90&gt;=$B$65:$B$68))*(1-(($C$65:$C$68&gt;0)*(A90&gt;=$C$65:$C$68)))*(properties!$L$3:$L$6-properties!$M$3:$M$6))*O90+SUMPRODUCT((1-($B$65:$B$68&gt;0)*(A90&gt;=$B$65:$B$68))*(($C$65:$C$68&gt;0)*(A90&gt;=$C$65:$C$68))*($D$65:$D$68-$E$65:$E$68))*O90</f>
        <v/>
      </c>
      <c r="BL90" s="14">
        <f>SUMPRODUCT((1-($B$65:$B$68&gt;0)*(A90&gt;=$B$65:$B$68))*properties!$N$3:$N$6*(A90&lt;=properties!$O$3:$O$6))</f>
        <v/>
      </c>
      <c r="BM90" s="14">
        <f>MAX(0,BK90-BL90)</f>
        <v/>
      </c>
      <c r="BN90" s="14">
        <f>SUMPRODUCT(($B$64:$B$68=A90)*$G$64:$G$68)</f>
        <v/>
      </c>
      <c r="BO90" s="14">
        <f>SUMPRODUCT(($B$64:$B$68=A90)*$H$64:$H$68)</f>
        <v/>
      </c>
      <c r="BP90" s="14">
        <f>SUMPRODUCT(($B$64:$B$68=A90)*$I$64:$I$68)</f>
        <v/>
      </c>
      <c r="BQ90" s="14">
        <f>AN90*properties!$C$2*(1+properties!$D$2)^(A90-household!$B$4+1)</f>
        <v/>
      </c>
      <c r="BR90" s="14">
        <f>SUMPRODUCT((1-($B$65:$B$68&gt;0)*(A90&gt;=$B$65:$B$68))*properties!$C$3:$C$6*(1+properties!$D$3:$D$6)^(A90-household!$B$4+1))</f>
        <v/>
      </c>
      <c r="BS90" s="14">
        <f>IF(A90&gt;=household!$B$6+$B$26,household!$B$11*12*$B$30*O90,0)</f>
        <v/>
      </c>
      <c r="BT90" s="14">
        <f>IF(A90&gt;=household!$B$9+$B$27,household!$B$12*12*$B$31*O90,0)</f>
        <v/>
      </c>
      <c r="BU90" s="14">
        <f>IF(A90&gt;=household!$B$6+$B$28,tax_tables!$B$19*12*P90*MIN(1,household!$B$13/40)*$B$32*(1+tax_tables!$B$20*(B90&gt;=75)),0)</f>
        <v/>
      </c>
      <c r="BV90" s="14">
        <f>IF(A90&gt;=household!$B$9+$B$29,tax_tables!$B$19*12*P90*MIN(1,household!$B$14/40)*$B$33*(1+tax_tables!$B$20*(C90&gt;=75)),0)</f>
        <v/>
      </c>
      <c r="BW90" s="14">
        <f>IF(AND($B$36&lt;&gt;0,A90&gt;=household!$B$6+$B$37),$B$36*(1+$B$17)^(MAX(household!$B$6+$B$37,household!$B$4-1)-household!$B$4+1)*(1+$B$40*$B$17)^(A90-MAX(household!$B$6+$B$37,household!$B$4-1)),0)</f>
        <v/>
      </c>
      <c r="BX90" s="14">
        <f>IF(AND($B$38&lt;&gt;0,A90&gt;=household!$B$9+$B$39),$B$38*(1+$B$17)^(MAX(household!$B$9+$B$39,household!$B$4-1)-household!$B$4+1)*(1+$B$40*$B$17)^(A90-MAX(household!$B$9+$B$39,household!$B$4-1)),0)</f>
        <v/>
      </c>
      <c r="BY90" s="14">
        <f>CZ89</f>
        <v/>
      </c>
      <c r="BZ90" s="14">
        <f>DA89</f>
        <v/>
      </c>
      <c r="CA90" s="14">
        <f>$B$19*BY90</f>
        <v/>
      </c>
      <c r="CB90" s="14">
        <f>DB89</f>
        <v/>
      </c>
      <c r="CC90" s="14">
        <f>DC89</f>
        <v/>
      </c>
      <c r="CD90" s="14">
        <f>IF(B90&gt;=tax_tables!$B$46,MAX(0,CB90)*INDEX(tax_tables!$N$5:$N$54,MATCH(MIN(B90-1,120),tax_tables!$M$5:$M$54,0)),0)</f>
        <v/>
      </c>
      <c r="CE90" s="14">
        <f>IF(C90&gt;=tax_tables!$B$46,MAX(0,CC90)*INDEX(tax_tables!$N$5:$N$54,MATCH(MIN(C90-1,120),tax_tables!$M$5:$M$54,0)),0)</f>
        <v/>
      </c>
      <c r="CF90" s="14">
        <f>DD89</f>
        <v/>
      </c>
      <c r="CG90" s="14">
        <f>IF(OR($B$52="",$B$53=""),0,IF(AND(A90&gt;=$B$52,A90&lt;=$B$53),$B$51*O90,0))</f>
        <v/>
      </c>
      <c r="CH90" s="14">
        <f>MAX(0,CB90*(1+M90)-CD90)</f>
        <v/>
      </c>
      <c r="CI90" s="14">
        <f>MAX(0,CC90*(1+M90)-CE90)</f>
        <v/>
      </c>
      <c r="CJ90" s="14">
        <f>MIN(CG90,CH90+CI90)</f>
        <v/>
      </c>
      <c r="CK90" s="14">
        <f>IF(CH90+CI90&gt;1,CJ90*CH90/(CH90+CI90),0)</f>
        <v/>
      </c>
      <c r="CL90" s="14">
        <f>CJ90-CK90</f>
        <v/>
      </c>
      <c r="CM90" s="14">
        <f>CM89-CW89+CU89+tax_tables!$B$32*P90*2</f>
        <v/>
      </c>
      <c r="CN90" s="14">
        <f>EC89-AI89</f>
        <v/>
      </c>
      <c r="CO90" s="14">
        <f>AJ90+F90+BW90+BX90+BK90+CA90+CD90+CE90+BN90+AK90+AL90+CJ90</f>
        <v/>
      </c>
      <c r="CP90" s="14">
        <f>D90+CN90-CO90</f>
        <v/>
      </c>
      <c r="CQ90" s="14">
        <f>MAX(0,MIN(CP90,BY90*(1+M90-$B$19)))</f>
        <v/>
      </c>
      <c r="CR90" s="14">
        <f>MAX(0,MIN(CP90-CQ90,(CH90-CK90)+(CI90-CL90)))</f>
        <v/>
      </c>
      <c r="CS90" s="14">
        <f>IF((CH90-CK90)+(CI90-CL90)&gt;1,CR90*(CH90-CK90)/((CH90-CK90)+(CI90-CL90)),0)</f>
        <v/>
      </c>
      <c r="CT90" s="14">
        <f>CR90-CS90</f>
        <v/>
      </c>
      <c r="CU90" s="14">
        <f>MAX(0,MIN(CP90-CQ90-CR90,CF90*(1+M90)))</f>
        <v/>
      </c>
      <c r="CV90" s="14">
        <f>MAX(0,-CP90)</f>
        <v/>
      </c>
      <c r="CW90" s="14">
        <f>MIN(CV90,MAX(0,CM90))</f>
        <v/>
      </c>
      <c r="CX90" s="22">
        <f>IF(BY90&gt;0,MAX(0,1-BZ90/BY90),0)</f>
        <v/>
      </c>
      <c r="CY90" s="14">
        <f>CQ90*CX90</f>
        <v/>
      </c>
      <c r="CZ90" s="14">
        <f>BY90*(1+M90-$B$19)-CQ90+(CV90-CW90)</f>
        <v/>
      </c>
      <c r="DA90" s="14">
        <f>BZ90-(CQ90-CY90)+(CV90-CW90)</f>
        <v/>
      </c>
      <c r="DB90" s="14">
        <f>CB90*(1+M90)-CD90-CS90-CK90+Z90+AB90</f>
        <v/>
      </c>
      <c r="DC90" s="14">
        <f>CC90*(1+M90)-CE90-CT90-CL90+AA90+AC90</f>
        <v/>
      </c>
      <c r="DD90" s="14">
        <f>CF90*(1+M90)-CU90+CW90</f>
        <v/>
      </c>
      <c r="DE90" s="14">
        <f>CD90+CK90+CS90</f>
        <v/>
      </c>
      <c r="DF90" s="14">
        <f>CA90*household!$B$15*$B$20*(1+tax_tables!$B$17)</f>
        <v/>
      </c>
      <c r="DG90" s="14">
        <f>X90+BS90+BU90+BW90+DE90+DF90+CA90*household!$B$15*(1-$B$20)+(CY90+BO90)*household!$B$15*tax_tables!$B$18+(BP90+BM90+AK90)*household!$B$15-Z90</f>
        <v/>
      </c>
      <c r="DH90" s="14">
        <f>CE90+CL90+CT90</f>
        <v/>
      </c>
      <c r="DI90" s="14">
        <f>CA90*(1-household!$B$15)*$B$20*(1+tax_tables!$B$17)</f>
        <v/>
      </c>
      <c r="DJ90" s="14">
        <f>Y90+BT90+BV90+BX90+DH90+DI90+CA90*(1-household!$B$15)*(1-$B$20)+(CY90+BO90)*(1-household!$B$15)*tax_tables!$B$18+(BP90+BM90+AK90)*(1-household!$B$15)-AA90</f>
        <v/>
      </c>
      <c r="DK90" s="14">
        <f>IF((DG90&gt;=DJ90),MIN(0.5*(BW90+IF(B90&gt;=65,DE90,0)),MAX(0,(DG90-DJ90)/2)),MIN(0.5*(BX90+IF(C90&gt;=65,DH90,0)),MAX(0,(DJ90-DG90)/2)))</f>
        <v/>
      </c>
      <c r="DL90" s="14">
        <f>DG90+IF((DG90&gt;=DJ90),-DK90,DK90)</f>
        <v/>
      </c>
      <c r="DM90" s="14">
        <f>BW90+IF(B90&gt;=65,DE90,0)+IF((DG90&gt;=DJ90),-DK90,DK90)</f>
        <v/>
      </c>
      <c r="DN90" s="14">
        <f>MIN(BU90,tax_tables!$B$22*MAX(0,DL90-tax_tables!$B$21*P90))</f>
        <v/>
      </c>
      <c r="DO90" s="14">
        <f>MAX(0,DL90-DN90)</f>
        <v/>
      </c>
      <c r="DP90" s="14">
        <f>DJ90+IF((DG90&gt;=DJ90),DK90,-DK90)</f>
        <v/>
      </c>
      <c r="DQ90" s="14">
        <f>BX90+IF(C90&gt;=65,DH90,0)+IF((DG90&gt;=DJ90),DK90,-DK90)</f>
        <v/>
      </c>
      <c r="DR90" s="14">
        <f>MIN(BV90,tax_tables!$B$22*MAX(0,DP90-tax_tables!$B$21*P90))</f>
        <v/>
      </c>
      <c r="DS90" s="14">
        <f>MAX(0,DP90-DR90)</f>
        <v/>
      </c>
      <c r="DT90" s="14">
        <f>BJ90-BD90</f>
        <v/>
      </c>
      <c r="DU90" s="14">
        <f>(tax_tables!$B$6-(tax_tables!$B$6-tax_tables!$B$7)*MIN(1,MAX(0,(DL90-tax_tables!$B$8*P90)/((tax_tables!$B$9-tax_tables!$B$8)*P90))))*P90+(B90&gt;=65)*MAX(0,tax_tables!$B$10*P90-tax_tables!$B$12*MAX(0,DL90-tax_tables!$B$11*P90))+MIN(tax_tables!$B$13,DM90)+MIN(tax_tables!$B$14*P90,X90)+AF90+(DL90&lt;=DP90)*MAX(0,DT90-MIN(0.03*DL90,tax_tables!$B$15*P90))</f>
        <v/>
      </c>
      <c r="DV90" s="14">
        <f>MAX(0,SUMPRODUCT((DO90&gt;tax_tables!$E$5:$E$16*P90)*(DO90-tax_tables!$E$5:$E$16*P90)*tax_tables!$G$5:$G$16)-tax_tables!$B$5*DU90-tax_tables!$B$16*DF90)</f>
        <v/>
      </c>
      <c r="DW90" s="14">
        <f>tax_tables!$B$35*Q90+(B90&gt;=65)*MAX(0,tax_tables!$B$36*Q90-tax_tables!$B$12*MAX(0,DL90-tax_tables!$B$37*Q90))+MIN(tax_tables!$B$38,DM90)+AF90+(DL90&lt;=DP90)*MAX(0,DT90-MIN(0.03*DL90,tax_tables!$B$39*Q90))</f>
        <v/>
      </c>
      <c r="DX90" s="14">
        <f>MAX(0,SUMPRODUCT((DO90&gt;tax_tables!$I$5:$I$16*Q90)*(DO90-tax_tables!$I$5:$I$16*Q90)*tax_tables!$K$5:$K$16)-tax_tables!$B$34*DW90-tax_tables!$B$40*DF90-MAX(0,tax_tables!$B$41*Q90-tax_tables!$B$43*MAX(0,DL90-tax_tables!$B$42*Q90)))</f>
        <v/>
      </c>
      <c r="DY90" s="14">
        <f>(tax_tables!$B$6-(tax_tables!$B$6-tax_tables!$B$7)*MIN(1,MAX(0,(DP90-tax_tables!$B$8*P90)/((tax_tables!$B$9-tax_tables!$B$8)*P90))))*P90+(C90&gt;=65)*MAX(0,tax_tables!$B$10*P90-tax_tables!$B$12*MAX(0,DP90-tax_tables!$B$11*P90))+MIN(tax_tables!$B$13,DQ90)+MIN(tax_tables!$B$14*P90,Y90)+AG90+(DL90&gt;DP90)*MAX(0,DT90-MIN(0.03*DP90,tax_tables!$B$15*P90))</f>
        <v/>
      </c>
      <c r="DZ90" s="14">
        <f>MAX(0,SUMPRODUCT((DS90&gt;tax_tables!$E$5:$E$16*P90)*(DS90-tax_tables!$E$5:$E$16*P90)*tax_tables!$G$5:$G$16)-tax_tables!$B$5*DY90-tax_tables!$B$16*DI90)</f>
        <v/>
      </c>
      <c r="EA90" s="14">
        <f>tax_tables!$B$35*Q90+(C90&gt;=65)*MAX(0,tax_tables!$B$36*Q90-tax_tables!$B$12*MAX(0,DP90-tax_tables!$B$37*Q90))+MIN(tax_tables!$B$38,DQ90)+AG90+(DL90&gt;DP90)*MAX(0,DT90-MIN(0.03*DP90,tax_tables!$B$39*Q90))</f>
        <v/>
      </c>
      <c r="EB90" s="14">
        <f>MAX(0,SUMPRODUCT((DS90&gt;tax_tables!$I$5:$I$16*Q90)*(DS90-tax_tables!$I$5:$I$16*Q90)*tax_tables!$K$5:$K$16)-tax_tables!$B$34*EA90-tax_tables!$B$40*DI90-MAX(0,tax_tables!$B$41*Q90-tax_tables!$B$43*MAX(0,DP90-tax_tables!$B$42*Q90)))</f>
        <v/>
      </c>
      <c r="EC90" s="14">
        <f>DV90+DZ90+DX90+EB90+DN90+DR90</f>
        <v/>
      </c>
      <c r="ED90" s="14">
        <f>CZ90+DB90+DC90+DD90</f>
        <v/>
      </c>
      <c r="EE90" s="14">
        <f>ED90+BQ90-AR90+BR90</f>
        <v/>
      </c>
    </row>
    <row r="91">
      <c r="A91" s="21">
        <f>A90+1</f>
        <v/>
      </c>
      <c r="B91" s="21">
        <f>A91-household!$B$6</f>
        <v/>
      </c>
      <c r="C91" s="21">
        <f>A91-household!$B$9</f>
        <v/>
      </c>
      <c r="D91" s="14">
        <f>AU91+AV91+AW91+AX91+BB91+BJ91+AM91</f>
        <v/>
      </c>
      <c r="E91" s="14">
        <f>CN91+AI91+AH91</f>
        <v/>
      </c>
      <c r="F91" s="14">
        <f>BS91+BT91+BU91+BV91</f>
        <v/>
      </c>
      <c r="G91" s="14">
        <f>CQ91+CR91+CU91+CD91+CE91+CA91-CV91+CJ91+CW91</f>
        <v/>
      </c>
      <c r="H91" s="22">
        <f>IF(BY91+CB91+CC91+CF91&lt;=0,"",G91/(BY91+CB91+CC91+CF91))</f>
        <v/>
      </c>
      <c r="I91" s="23">
        <f>ED91/O91</f>
        <v/>
      </c>
      <c r="J91" s="23">
        <f>EE91/O91</f>
        <v/>
      </c>
      <c r="K91" s="14">
        <f>MAX(0,CP91-CQ91-CR91-CU91)</f>
        <v/>
      </c>
      <c r="L91" s="10" t="n"/>
      <c r="M91" s="22">
        <f>IF(L91="",$B$18,L91)</f>
        <v/>
      </c>
      <c r="N91" s="13" t="n"/>
      <c r="O91" s="12">
        <f>(1+$B$17)^(A91-household!$B$4+1)</f>
        <v/>
      </c>
      <c r="P91" s="12">
        <f>(1+$B$17)^(A91-tax_tables!$B$4)</f>
        <v/>
      </c>
      <c r="Q91" s="12">
        <f>(1+$B$17)^(A91-tax_tables!$B$4-MAX(0,MIN(A91,tax_tables!$B$45)-tax_tables!$B$44+1))</f>
        <v/>
      </c>
      <c r="R91" s="12">
        <f>(1+$B$21)^(A91-household!$B$4+1)</f>
        <v/>
      </c>
      <c r="S91" s="12">
        <f>(1+$B$22)^(A91-household!$B$4+1)</f>
        <v/>
      </c>
      <c r="T91" s="12">
        <f>(1+$B$23)^(A91-household!$B$4+1)</f>
        <v/>
      </c>
      <c r="U91" s="21">
        <f>IF(A91&lt;$B$5,1,0)</f>
        <v/>
      </c>
      <c r="V91" s="21">
        <f>IF(A91&lt;$B$6,1,0)</f>
        <v/>
      </c>
      <c r="W91" s="21">
        <f>IF(U91+V91&gt;0,1,0)</f>
        <v/>
      </c>
      <c r="X91" s="14">
        <f>U91*$B$7*O91+SUMPRODUCT(($B$72:$B$77=A91)*($D$72:$D$77="Wages: person 1")*$C$72:$C$77)*O91</f>
        <v/>
      </c>
      <c r="Y91" s="14">
        <f>V91*$B$8*O91+SUMPRODUCT(($B$72:$B$77=A91)*($D$72:$D$77="Wages: person 2")*$C$72:$C$77)*O91</f>
        <v/>
      </c>
      <c r="Z91" s="14">
        <f>U91*$B$9*O91</f>
        <v/>
      </c>
      <c r="AA91" s="14">
        <f>V91*$B$10*O91</f>
        <v/>
      </c>
      <c r="AB91" s="14">
        <f>U91*$B$11*O91</f>
        <v/>
      </c>
      <c r="AC91" s="14">
        <f>V91*$B$12*O91</f>
        <v/>
      </c>
      <c r="AD91" s="14">
        <f>X91+Y91</f>
        <v/>
      </c>
      <c r="AE91" s="14">
        <f>AD91-Z91-AA91</f>
        <v/>
      </c>
      <c r="AF91" s="14">
        <f>tax_tables!$B$25*MAX(0,MIN(X91,tax_tables!$B$27*P91)-tax_tables!$B$26)+tax_tables!$B$28*MAX(0,MIN(X91,tax_tables!$B$29*P91)-tax_tables!$B$27*P91)+tax_tables!$B$30*MIN(X91,tax_tables!$B$31*P91)</f>
        <v/>
      </c>
      <c r="AG91" s="14">
        <f>tax_tables!$B$25*MAX(0,MIN(Y91,tax_tables!$B$27*P91)-tax_tables!$B$26)+tax_tables!$B$28*MAX(0,MIN(Y91,tax_tables!$B$29*P91)-tax_tables!$B$27*P91)+tax_tables!$B$30*MIN(Y91,tax_tables!$B$31*P91)</f>
        <v/>
      </c>
      <c r="AH91" s="14">
        <f>AF91+AG91</f>
        <v/>
      </c>
      <c r="AI91" s="14">
        <f>$B$13*AE91</f>
        <v/>
      </c>
      <c r="AJ91" s="14">
        <f>AD91-Z91-AA91-AH91-AI91</f>
        <v/>
      </c>
      <c r="AK91" s="14">
        <f>SUMPRODUCT(($B$72:$B$77=A91)*($D$72:$D$77="Other taxable income")*$C$72:$C$77)*O91</f>
        <v/>
      </c>
      <c r="AL91" s="14">
        <f>SUMPRODUCT(($B$72:$B$77=A91)*($D$72:$D$77="Tax-free money in")*$C$72:$C$77)*O91</f>
        <v/>
      </c>
      <c r="AM91" s="14">
        <f>SUMPRODUCT(($B$72:$B$77=A91)*($D$72:$D$77="Expense")*$C$72:$C$77)*O91</f>
        <v/>
      </c>
      <c r="AN91" s="21">
        <f>IF(OR($B$64="",A91&lt;$B$64),1,0)</f>
        <v/>
      </c>
      <c r="AO91" s="14">
        <f>AR90</f>
        <v/>
      </c>
      <c r="AP91" s="14">
        <f>AN91*AO91*properties!$J$2</f>
        <v/>
      </c>
      <c r="AQ91" s="14">
        <f>AN91*MIN(properties!$K$2,AO91+AP91)</f>
        <v/>
      </c>
      <c r="AR91" s="14">
        <f>AN91*(AO91+AP91-AQ91)</f>
        <v/>
      </c>
      <c r="AS91" s="14">
        <f>AN91*properties!$G$2*O91</f>
        <v/>
      </c>
      <c r="AT91" s="14">
        <f>(1-AN91)*$E$64*O91</f>
        <v/>
      </c>
      <c r="AU91" s="14">
        <f>AQ91+AS91+AT91</f>
        <v/>
      </c>
      <c r="AV91" s="14">
        <f>SUMIF(budget!$A$2:$A$300,"household",budget!$F$2:$F$300)*O91*IF(N91="",1,N91)</f>
        <v/>
      </c>
      <c r="AW91" s="14">
        <f>SUMPRODUCT((other_budget!$C$2:$C$30&lt;=A91)*(other_budget!$D$2:$D$30&gt;=A91)*other_budget!$B$2:$B$30)*O91</f>
        <v/>
      </c>
      <c r="AX91" s="14">
        <f>SUMPRODUCT((kids_budget!$D$2:$D$40&lt;=A91)*(kids_budget!$E$2:$E$40&gt;=A91)*(kids_budget!$G$2:$G$40&lt;&gt;"college_funds")*kids_budget!$C$2:$C$40*((kids_budget!$F$2:$F$40="college")*S91+(kids_budget!$F$2:$F$40&lt;&gt;"college")*O91))</f>
        <v/>
      </c>
      <c r="AY91" s="14">
        <f>SUMPRODUCT((kids_budget!$D$2:$D$40&lt;=A91)*(kids_budget!$E$2:$E$40&gt;=A91)*(kids_budget!$G$2:$G$40="college_funds")*kids_budget!$C$2:$C$40*((kids_budget!$F$2:$F$40="college")*S91+(kids_budget!$F$2:$F$40&lt;&gt;"college")*O91))</f>
        <v/>
      </c>
      <c r="AZ91" s="14">
        <f>BC90</f>
        <v/>
      </c>
      <c r="BA91" s="14">
        <f>MIN(AY91,AZ91*(1+M91))</f>
        <v/>
      </c>
      <c r="BB91" s="14">
        <f>AY91-BA91</f>
        <v/>
      </c>
      <c r="BC91" s="14">
        <f>AZ91*(1+M91)-BA91</f>
        <v/>
      </c>
      <c r="BD91" s="14">
        <f>W91*healthcare!$B$2*R91</f>
        <v/>
      </c>
      <c r="BE91" s="21">
        <f>(1-W91)*2</f>
        <v/>
      </c>
      <c r="BF91" s="14">
        <f>BE91*healthcare!$B$3*12*R91</f>
        <v/>
      </c>
      <c r="BG91" s="14">
        <f>BE91*healthcare!$B$4*R91</f>
        <v/>
      </c>
      <c r="BH91" s="21">
        <f>AND(B91&gt;=$B$44,B91&lt;$B$44+$B$45)*1+AND(C91&gt;=$B$46,C91&lt;$B$46+$B$47)*1</f>
        <v/>
      </c>
      <c r="BI91" s="14">
        <f>BH91*$B$48*T91</f>
        <v/>
      </c>
      <c r="BJ91" s="14">
        <f>BD91+BF91+BG91+BI91</f>
        <v/>
      </c>
      <c r="BK91" s="14">
        <f>SUMPRODUCT((1-($B$65:$B$68&gt;0)*(A91&gt;=$B$65:$B$68))*(1-(($C$65:$C$68&gt;0)*(A91&gt;=$C$65:$C$68)))*(properties!$L$3:$L$6-properties!$M$3:$M$6))*O91+SUMPRODUCT((1-($B$65:$B$68&gt;0)*(A91&gt;=$B$65:$B$68))*(($C$65:$C$68&gt;0)*(A91&gt;=$C$65:$C$68))*($D$65:$D$68-$E$65:$E$68))*O91</f>
        <v/>
      </c>
      <c r="BL91" s="14">
        <f>SUMPRODUCT((1-($B$65:$B$68&gt;0)*(A91&gt;=$B$65:$B$68))*properties!$N$3:$N$6*(A91&lt;=properties!$O$3:$O$6))</f>
        <v/>
      </c>
      <c r="BM91" s="14">
        <f>MAX(0,BK91-BL91)</f>
        <v/>
      </c>
      <c r="BN91" s="14">
        <f>SUMPRODUCT(($B$64:$B$68=A91)*$G$64:$G$68)</f>
        <v/>
      </c>
      <c r="BO91" s="14">
        <f>SUMPRODUCT(($B$64:$B$68=A91)*$H$64:$H$68)</f>
        <v/>
      </c>
      <c r="BP91" s="14">
        <f>SUMPRODUCT(($B$64:$B$68=A91)*$I$64:$I$68)</f>
        <v/>
      </c>
      <c r="BQ91" s="14">
        <f>AN91*properties!$C$2*(1+properties!$D$2)^(A91-household!$B$4+1)</f>
        <v/>
      </c>
      <c r="BR91" s="14">
        <f>SUMPRODUCT((1-($B$65:$B$68&gt;0)*(A91&gt;=$B$65:$B$68))*properties!$C$3:$C$6*(1+properties!$D$3:$D$6)^(A91-household!$B$4+1))</f>
        <v/>
      </c>
      <c r="BS91" s="14">
        <f>IF(A91&gt;=household!$B$6+$B$26,household!$B$11*12*$B$30*O91,0)</f>
        <v/>
      </c>
      <c r="BT91" s="14">
        <f>IF(A91&gt;=household!$B$9+$B$27,household!$B$12*12*$B$31*O91,0)</f>
        <v/>
      </c>
      <c r="BU91" s="14">
        <f>IF(A91&gt;=household!$B$6+$B$28,tax_tables!$B$19*12*P91*MIN(1,household!$B$13/40)*$B$32*(1+tax_tables!$B$20*(B91&gt;=75)),0)</f>
        <v/>
      </c>
      <c r="BV91" s="14">
        <f>IF(A91&gt;=household!$B$9+$B$29,tax_tables!$B$19*12*P91*MIN(1,household!$B$14/40)*$B$33*(1+tax_tables!$B$20*(C91&gt;=75)),0)</f>
        <v/>
      </c>
      <c r="BW91" s="14">
        <f>IF(AND($B$36&lt;&gt;0,A91&gt;=household!$B$6+$B$37),$B$36*(1+$B$17)^(MAX(household!$B$6+$B$37,household!$B$4-1)-household!$B$4+1)*(1+$B$40*$B$17)^(A91-MAX(household!$B$6+$B$37,household!$B$4-1)),0)</f>
        <v/>
      </c>
      <c r="BX91" s="14">
        <f>IF(AND($B$38&lt;&gt;0,A91&gt;=household!$B$9+$B$39),$B$38*(1+$B$17)^(MAX(household!$B$9+$B$39,household!$B$4-1)-household!$B$4+1)*(1+$B$40*$B$17)^(A91-MAX(household!$B$9+$B$39,household!$B$4-1)),0)</f>
        <v/>
      </c>
      <c r="BY91" s="14">
        <f>CZ90</f>
        <v/>
      </c>
      <c r="BZ91" s="14">
        <f>DA90</f>
        <v/>
      </c>
      <c r="CA91" s="14">
        <f>$B$19*BY91</f>
        <v/>
      </c>
      <c r="CB91" s="14">
        <f>DB90</f>
        <v/>
      </c>
      <c r="CC91" s="14">
        <f>DC90</f>
        <v/>
      </c>
      <c r="CD91" s="14">
        <f>IF(B91&gt;=tax_tables!$B$46,MAX(0,CB91)*INDEX(tax_tables!$N$5:$N$54,MATCH(MIN(B91-1,120),tax_tables!$M$5:$M$54,0)),0)</f>
        <v/>
      </c>
      <c r="CE91" s="14">
        <f>IF(C91&gt;=tax_tables!$B$46,MAX(0,CC91)*INDEX(tax_tables!$N$5:$N$54,MATCH(MIN(C91-1,120),tax_tables!$M$5:$M$54,0)),0)</f>
        <v/>
      </c>
      <c r="CF91" s="14">
        <f>DD90</f>
        <v/>
      </c>
      <c r="CG91" s="14">
        <f>IF(OR($B$52="",$B$53=""),0,IF(AND(A91&gt;=$B$52,A91&lt;=$B$53),$B$51*O91,0))</f>
        <v/>
      </c>
      <c r="CH91" s="14">
        <f>MAX(0,CB91*(1+M91)-CD91)</f>
        <v/>
      </c>
      <c r="CI91" s="14">
        <f>MAX(0,CC91*(1+M91)-CE91)</f>
        <v/>
      </c>
      <c r="CJ91" s="14">
        <f>MIN(CG91,CH91+CI91)</f>
        <v/>
      </c>
      <c r="CK91" s="14">
        <f>IF(CH91+CI91&gt;1,CJ91*CH91/(CH91+CI91),0)</f>
        <v/>
      </c>
      <c r="CL91" s="14">
        <f>CJ91-CK91</f>
        <v/>
      </c>
      <c r="CM91" s="14">
        <f>CM90-CW90+CU90+tax_tables!$B$32*P91*2</f>
        <v/>
      </c>
      <c r="CN91" s="14">
        <f>EC90-AI90</f>
        <v/>
      </c>
      <c r="CO91" s="14">
        <f>AJ91+F91+BW91+BX91+BK91+CA91+CD91+CE91+BN91+AK91+AL91+CJ91</f>
        <v/>
      </c>
      <c r="CP91" s="14">
        <f>D91+CN91-CO91</f>
        <v/>
      </c>
      <c r="CQ91" s="14">
        <f>MAX(0,MIN(CP91,BY91*(1+M91-$B$19)))</f>
        <v/>
      </c>
      <c r="CR91" s="14">
        <f>MAX(0,MIN(CP91-CQ91,(CH91-CK91)+(CI91-CL91)))</f>
        <v/>
      </c>
      <c r="CS91" s="14">
        <f>IF((CH91-CK91)+(CI91-CL91)&gt;1,CR91*(CH91-CK91)/((CH91-CK91)+(CI91-CL91)),0)</f>
        <v/>
      </c>
      <c r="CT91" s="14">
        <f>CR91-CS91</f>
        <v/>
      </c>
      <c r="CU91" s="14">
        <f>MAX(0,MIN(CP91-CQ91-CR91,CF91*(1+M91)))</f>
        <v/>
      </c>
      <c r="CV91" s="14">
        <f>MAX(0,-CP91)</f>
        <v/>
      </c>
      <c r="CW91" s="14">
        <f>MIN(CV91,MAX(0,CM91))</f>
        <v/>
      </c>
      <c r="CX91" s="22">
        <f>IF(BY91&gt;0,MAX(0,1-BZ91/BY91),0)</f>
        <v/>
      </c>
      <c r="CY91" s="14">
        <f>CQ91*CX91</f>
        <v/>
      </c>
      <c r="CZ91" s="14">
        <f>BY91*(1+M91-$B$19)-CQ91+(CV91-CW91)</f>
        <v/>
      </c>
      <c r="DA91" s="14">
        <f>BZ91-(CQ91-CY91)+(CV91-CW91)</f>
        <v/>
      </c>
      <c r="DB91" s="14">
        <f>CB91*(1+M91)-CD91-CS91-CK91+Z91+AB91</f>
        <v/>
      </c>
      <c r="DC91" s="14">
        <f>CC91*(1+M91)-CE91-CT91-CL91+AA91+AC91</f>
        <v/>
      </c>
      <c r="DD91" s="14">
        <f>CF91*(1+M91)-CU91+CW91</f>
        <v/>
      </c>
      <c r="DE91" s="14">
        <f>CD91+CK91+CS91</f>
        <v/>
      </c>
      <c r="DF91" s="14">
        <f>CA91*household!$B$15*$B$20*(1+tax_tables!$B$17)</f>
        <v/>
      </c>
      <c r="DG91" s="14">
        <f>X91+BS91+BU91+BW91+DE91+DF91+CA91*household!$B$15*(1-$B$20)+(CY91+BO91)*household!$B$15*tax_tables!$B$18+(BP91+BM91+AK91)*household!$B$15-Z91</f>
        <v/>
      </c>
      <c r="DH91" s="14">
        <f>CE91+CL91+CT91</f>
        <v/>
      </c>
      <c r="DI91" s="14">
        <f>CA91*(1-household!$B$15)*$B$20*(1+tax_tables!$B$17)</f>
        <v/>
      </c>
      <c r="DJ91" s="14">
        <f>Y91+BT91+BV91+BX91+DH91+DI91+CA91*(1-household!$B$15)*(1-$B$20)+(CY91+BO91)*(1-household!$B$15)*tax_tables!$B$18+(BP91+BM91+AK91)*(1-household!$B$15)-AA91</f>
        <v/>
      </c>
      <c r="DK91" s="14">
        <f>IF((DG91&gt;=DJ91),MIN(0.5*(BW91+IF(B91&gt;=65,DE91,0)),MAX(0,(DG91-DJ91)/2)),MIN(0.5*(BX91+IF(C91&gt;=65,DH91,0)),MAX(0,(DJ91-DG91)/2)))</f>
        <v/>
      </c>
      <c r="DL91" s="14">
        <f>DG91+IF((DG91&gt;=DJ91),-DK91,DK91)</f>
        <v/>
      </c>
      <c r="DM91" s="14">
        <f>BW91+IF(B91&gt;=65,DE91,0)+IF((DG91&gt;=DJ91),-DK91,DK91)</f>
        <v/>
      </c>
      <c r="DN91" s="14">
        <f>MIN(BU91,tax_tables!$B$22*MAX(0,DL91-tax_tables!$B$21*P91))</f>
        <v/>
      </c>
      <c r="DO91" s="14">
        <f>MAX(0,DL91-DN91)</f>
        <v/>
      </c>
      <c r="DP91" s="14">
        <f>DJ91+IF((DG91&gt;=DJ91),DK91,-DK91)</f>
        <v/>
      </c>
      <c r="DQ91" s="14">
        <f>BX91+IF(C91&gt;=65,DH91,0)+IF((DG91&gt;=DJ91),DK91,-DK91)</f>
        <v/>
      </c>
      <c r="DR91" s="14">
        <f>MIN(BV91,tax_tables!$B$22*MAX(0,DP91-tax_tables!$B$21*P91))</f>
        <v/>
      </c>
      <c r="DS91" s="14">
        <f>MAX(0,DP91-DR91)</f>
        <v/>
      </c>
      <c r="DT91" s="14">
        <f>BJ91-BD91</f>
        <v/>
      </c>
      <c r="DU91" s="14">
        <f>(tax_tables!$B$6-(tax_tables!$B$6-tax_tables!$B$7)*MIN(1,MAX(0,(DL91-tax_tables!$B$8*P91)/((tax_tables!$B$9-tax_tables!$B$8)*P91))))*P91+(B91&gt;=65)*MAX(0,tax_tables!$B$10*P91-tax_tables!$B$12*MAX(0,DL91-tax_tables!$B$11*P91))+MIN(tax_tables!$B$13,DM91)+MIN(tax_tables!$B$14*P91,X91)+AF91+(DL91&lt;=DP91)*MAX(0,DT91-MIN(0.03*DL91,tax_tables!$B$15*P91))</f>
        <v/>
      </c>
      <c r="DV91" s="14">
        <f>MAX(0,SUMPRODUCT((DO91&gt;tax_tables!$E$5:$E$16*P91)*(DO91-tax_tables!$E$5:$E$16*P91)*tax_tables!$G$5:$G$16)-tax_tables!$B$5*DU91-tax_tables!$B$16*DF91)</f>
        <v/>
      </c>
      <c r="DW91" s="14">
        <f>tax_tables!$B$35*Q91+(B91&gt;=65)*MAX(0,tax_tables!$B$36*Q91-tax_tables!$B$12*MAX(0,DL91-tax_tables!$B$37*Q91))+MIN(tax_tables!$B$38,DM91)+AF91+(DL91&lt;=DP91)*MAX(0,DT91-MIN(0.03*DL91,tax_tables!$B$39*Q91))</f>
        <v/>
      </c>
      <c r="DX91" s="14">
        <f>MAX(0,SUMPRODUCT((DO91&gt;tax_tables!$I$5:$I$16*Q91)*(DO91-tax_tables!$I$5:$I$16*Q91)*tax_tables!$K$5:$K$16)-tax_tables!$B$34*DW91-tax_tables!$B$40*DF91-MAX(0,tax_tables!$B$41*Q91-tax_tables!$B$43*MAX(0,DL91-tax_tables!$B$42*Q91)))</f>
        <v/>
      </c>
      <c r="DY91" s="14">
        <f>(tax_tables!$B$6-(tax_tables!$B$6-tax_tables!$B$7)*MIN(1,MAX(0,(DP91-tax_tables!$B$8*P91)/((tax_tables!$B$9-tax_tables!$B$8)*P91))))*P91+(C91&gt;=65)*MAX(0,tax_tables!$B$10*P91-tax_tables!$B$12*MAX(0,DP91-tax_tables!$B$11*P91))+MIN(tax_tables!$B$13,DQ91)+MIN(tax_tables!$B$14*P91,Y91)+AG91+(DL91&gt;DP91)*MAX(0,DT91-MIN(0.03*DP91,tax_tables!$B$15*P91))</f>
        <v/>
      </c>
      <c r="DZ91" s="14">
        <f>MAX(0,SUMPRODUCT((DS91&gt;tax_tables!$E$5:$E$16*P91)*(DS91-tax_tables!$E$5:$E$16*P91)*tax_tables!$G$5:$G$16)-tax_tables!$B$5*DY91-tax_tables!$B$16*DI91)</f>
        <v/>
      </c>
      <c r="EA91" s="14">
        <f>tax_tables!$B$35*Q91+(C91&gt;=65)*MAX(0,tax_tables!$B$36*Q91-tax_tables!$B$12*MAX(0,DP91-tax_tables!$B$37*Q91))+MIN(tax_tables!$B$38,DQ91)+AG91+(DL91&gt;DP91)*MAX(0,DT91-MIN(0.03*DP91,tax_tables!$B$39*Q91))</f>
        <v/>
      </c>
      <c r="EB91" s="14">
        <f>MAX(0,SUMPRODUCT((DS91&gt;tax_tables!$I$5:$I$16*Q91)*(DS91-tax_tables!$I$5:$I$16*Q91)*tax_tables!$K$5:$K$16)-tax_tables!$B$34*EA91-tax_tables!$B$40*DI91-MAX(0,tax_tables!$B$41*Q91-tax_tables!$B$43*MAX(0,DP91-tax_tables!$B$42*Q91)))</f>
        <v/>
      </c>
      <c r="EC91" s="14">
        <f>DV91+DZ91+DX91+EB91+DN91+DR91</f>
        <v/>
      </c>
      <c r="ED91" s="14">
        <f>CZ91+DB91+DC91+DD91</f>
        <v/>
      </c>
      <c r="EE91" s="14">
        <f>ED91+BQ91-AR91+BR91</f>
        <v/>
      </c>
    </row>
    <row r="92">
      <c r="A92" s="21">
        <f>A91+1</f>
        <v/>
      </c>
      <c r="B92" s="21">
        <f>A92-household!$B$6</f>
        <v/>
      </c>
      <c r="C92" s="21">
        <f>A92-household!$B$9</f>
        <v/>
      </c>
      <c r="D92" s="14">
        <f>AU92+AV92+AW92+AX92+BB92+BJ92+AM92</f>
        <v/>
      </c>
      <c r="E92" s="14">
        <f>CN92+AI92+AH92</f>
        <v/>
      </c>
      <c r="F92" s="14">
        <f>BS92+BT92+BU92+BV92</f>
        <v/>
      </c>
      <c r="G92" s="14">
        <f>CQ92+CR92+CU92+CD92+CE92+CA92-CV92+CJ92+CW92</f>
        <v/>
      </c>
      <c r="H92" s="22">
        <f>IF(BY92+CB92+CC92+CF92&lt;=0,"",G92/(BY92+CB92+CC92+CF92))</f>
        <v/>
      </c>
      <c r="I92" s="23">
        <f>ED92/O92</f>
        <v/>
      </c>
      <c r="J92" s="23">
        <f>EE92/O92</f>
        <v/>
      </c>
      <c r="K92" s="14">
        <f>MAX(0,CP92-CQ92-CR92-CU92)</f>
        <v/>
      </c>
      <c r="L92" s="10" t="n"/>
      <c r="M92" s="22">
        <f>IF(L92="",$B$18,L92)</f>
        <v/>
      </c>
      <c r="N92" s="13" t="n"/>
      <c r="O92" s="12">
        <f>(1+$B$17)^(A92-household!$B$4+1)</f>
        <v/>
      </c>
      <c r="P92" s="12">
        <f>(1+$B$17)^(A92-tax_tables!$B$4)</f>
        <v/>
      </c>
      <c r="Q92" s="12">
        <f>(1+$B$17)^(A92-tax_tables!$B$4-MAX(0,MIN(A92,tax_tables!$B$45)-tax_tables!$B$44+1))</f>
        <v/>
      </c>
      <c r="R92" s="12">
        <f>(1+$B$21)^(A92-household!$B$4+1)</f>
        <v/>
      </c>
      <c r="S92" s="12">
        <f>(1+$B$22)^(A92-household!$B$4+1)</f>
        <v/>
      </c>
      <c r="T92" s="12">
        <f>(1+$B$23)^(A92-household!$B$4+1)</f>
        <v/>
      </c>
      <c r="U92" s="21">
        <f>IF(A92&lt;$B$5,1,0)</f>
        <v/>
      </c>
      <c r="V92" s="21">
        <f>IF(A92&lt;$B$6,1,0)</f>
        <v/>
      </c>
      <c r="W92" s="21">
        <f>IF(U92+V92&gt;0,1,0)</f>
        <v/>
      </c>
      <c r="X92" s="14">
        <f>U92*$B$7*O92+SUMPRODUCT(($B$72:$B$77=A92)*($D$72:$D$77="Wages: person 1")*$C$72:$C$77)*O92</f>
        <v/>
      </c>
      <c r="Y92" s="14">
        <f>V92*$B$8*O92+SUMPRODUCT(($B$72:$B$77=A92)*($D$72:$D$77="Wages: person 2")*$C$72:$C$77)*O92</f>
        <v/>
      </c>
      <c r="Z92" s="14">
        <f>U92*$B$9*O92</f>
        <v/>
      </c>
      <c r="AA92" s="14">
        <f>V92*$B$10*O92</f>
        <v/>
      </c>
      <c r="AB92" s="14">
        <f>U92*$B$11*O92</f>
        <v/>
      </c>
      <c r="AC92" s="14">
        <f>V92*$B$12*O92</f>
        <v/>
      </c>
      <c r="AD92" s="14">
        <f>X92+Y92</f>
        <v/>
      </c>
      <c r="AE92" s="14">
        <f>AD92-Z92-AA92</f>
        <v/>
      </c>
      <c r="AF92" s="14">
        <f>tax_tables!$B$25*MAX(0,MIN(X92,tax_tables!$B$27*P92)-tax_tables!$B$26)+tax_tables!$B$28*MAX(0,MIN(X92,tax_tables!$B$29*P92)-tax_tables!$B$27*P92)+tax_tables!$B$30*MIN(X92,tax_tables!$B$31*P92)</f>
        <v/>
      </c>
      <c r="AG92" s="14">
        <f>tax_tables!$B$25*MAX(0,MIN(Y92,tax_tables!$B$27*P92)-tax_tables!$B$26)+tax_tables!$B$28*MAX(0,MIN(Y92,tax_tables!$B$29*P92)-tax_tables!$B$27*P92)+tax_tables!$B$30*MIN(Y92,tax_tables!$B$31*P92)</f>
        <v/>
      </c>
      <c r="AH92" s="14">
        <f>AF92+AG92</f>
        <v/>
      </c>
      <c r="AI92" s="14">
        <f>$B$13*AE92</f>
        <v/>
      </c>
      <c r="AJ92" s="14">
        <f>AD92-Z92-AA92-AH92-AI92</f>
        <v/>
      </c>
      <c r="AK92" s="14">
        <f>SUMPRODUCT(($B$72:$B$77=A92)*($D$72:$D$77="Other taxable income")*$C$72:$C$77)*O92</f>
        <v/>
      </c>
      <c r="AL92" s="14">
        <f>SUMPRODUCT(($B$72:$B$77=A92)*($D$72:$D$77="Tax-free money in")*$C$72:$C$77)*O92</f>
        <v/>
      </c>
      <c r="AM92" s="14">
        <f>SUMPRODUCT(($B$72:$B$77=A92)*($D$72:$D$77="Expense")*$C$72:$C$77)*O92</f>
        <v/>
      </c>
      <c r="AN92" s="21">
        <f>IF(OR($B$64="",A92&lt;$B$64),1,0)</f>
        <v/>
      </c>
      <c r="AO92" s="14">
        <f>AR91</f>
        <v/>
      </c>
      <c r="AP92" s="14">
        <f>AN92*AO92*properties!$J$2</f>
        <v/>
      </c>
      <c r="AQ92" s="14">
        <f>AN92*MIN(properties!$K$2,AO92+AP92)</f>
        <v/>
      </c>
      <c r="AR92" s="14">
        <f>AN92*(AO92+AP92-AQ92)</f>
        <v/>
      </c>
      <c r="AS92" s="14">
        <f>AN92*properties!$G$2*O92</f>
        <v/>
      </c>
      <c r="AT92" s="14">
        <f>(1-AN92)*$E$64*O92</f>
        <v/>
      </c>
      <c r="AU92" s="14">
        <f>AQ92+AS92+AT92</f>
        <v/>
      </c>
      <c r="AV92" s="14">
        <f>SUMIF(budget!$A$2:$A$300,"household",budget!$F$2:$F$300)*O92*IF(N92="",1,N92)</f>
        <v/>
      </c>
      <c r="AW92" s="14">
        <f>SUMPRODUCT((other_budget!$C$2:$C$30&lt;=A92)*(other_budget!$D$2:$D$30&gt;=A92)*other_budget!$B$2:$B$30)*O92</f>
        <v/>
      </c>
      <c r="AX92" s="14">
        <f>SUMPRODUCT((kids_budget!$D$2:$D$40&lt;=A92)*(kids_budget!$E$2:$E$40&gt;=A92)*(kids_budget!$G$2:$G$40&lt;&gt;"college_funds")*kids_budget!$C$2:$C$40*((kids_budget!$F$2:$F$40="college")*S92+(kids_budget!$F$2:$F$40&lt;&gt;"college")*O92))</f>
        <v/>
      </c>
      <c r="AY92" s="14">
        <f>SUMPRODUCT((kids_budget!$D$2:$D$40&lt;=A92)*(kids_budget!$E$2:$E$40&gt;=A92)*(kids_budget!$G$2:$G$40="college_funds")*kids_budget!$C$2:$C$40*((kids_budget!$F$2:$F$40="college")*S92+(kids_budget!$F$2:$F$40&lt;&gt;"college")*O92))</f>
        <v/>
      </c>
      <c r="AZ92" s="14">
        <f>BC91</f>
        <v/>
      </c>
      <c r="BA92" s="14">
        <f>MIN(AY92,AZ92*(1+M92))</f>
        <v/>
      </c>
      <c r="BB92" s="14">
        <f>AY92-BA92</f>
        <v/>
      </c>
      <c r="BC92" s="14">
        <f>AZ92*(1+M92)-BA92</f>
        <v/>
      </c>
      <c r="BD92" s="14">
        <f>W92*healthcare!$B$2*R92</f>
        <v/>
      </c>
      <c r="BE92" s="21">
        <f>(1-W92)*2</f>
        <v/>
      </c>
      <c r="BF92" s="14">
        <f>BE92*healthcare!$B$3*12*R92</f>
        <v/>
      </c>
      <c r="BG92" s="14">
        <f>BE92*healthcare!$B$4*R92</f>
        <v/>
      </c>
      <c r="BH92" s="21">
        <f>AND(B92&gt;=$B$44,B92&lt;$B$44+$B$45)*1+AND(C92&gt;=$B$46,C92&lt;$B$46+$B$47)*1</f>
        <v/>
      </c>
      <c r="BI92" s="14">
        <f>BH92*$B$48*T92</f>
        <v/>
      </c>
      <c r="BJ92" s="14">
        <f>BD92+BF92+BG92+BI92</f>
        <v/>
      </c>
      <c r="BK92" s="14">
        <f>SUMPRODUCT((1-($B$65:$B$68&gt;0)*(A92&gt;=$B$65:$B$68))*(1-(($C$65:$C$68&gt;0)*(A92&gt;=$C$65:$C$68)))*(properties!$L$3:$L$6-properties!$M$3:$M$6))*O92+SUMPRODUCT((1-($B$65:$B$68&gt;0)*(A92&gt;=$B$65:$B$68))*(($C$65:$C$68&gt;0)*(A92&gt;=$C$65:$C$68))*($D$65:$D$68-$E$65:$E$68))*O92</f>
        <v/>
      </c>
      <c r="BL92" s="14">
        <f>SUMPRODUCT((1-($B$65:$B$68&gt;0)*(A92&gt;=$B$65:$B$68))*properties!$N$3:$N$6*(A92&lt;=properties!$O$3:$O$6))</f>
        <v/>
      </c>
      <c r="BM92" s="14">
        <f>MAX(0,BK92-BL92)</f>
        <v/>
      </c>
      <c r="BN92" s="14">
        <f>SUMPRODUCT(($B$64:$B$68=A92)*$G$64:$G$68)</f>
        <v/>
      </c>
      <c r="BO92" s="14">
        <f>SUMPRODUCT(($B$64:$B$68=A92)*$H$64:$H$68)</f>
        <v/>
      </c>
      <c r="BP92" s="14">
        <f>SUMPRODUCT(($B$64:$B$68=A92)*$I$64:$I$68)</f>
        <v/>
      </c>
      <c r="BQ92" s="14">
        <f>AN92*properties!$C$2*(1+properties!$D$2)^(A92-household!$B$4+1)</f>
        <v/>
      </c>
      <c r="BR92" s="14">
        <f>SUMPRODUCT((1-($B$65:$B$68&gt;0)*(A92&gt;=$B$65:$B$68))*properties!$C$3:$C$6*(1+properties!$D$3:$D$6)^(A92-household!$B$4+1))</f>
        <v/>
      </c>
      <c r="BS92" s="14">
        <f>IF(A92&gt;=household!$B$6+$B$26,household!$B$11*12*$B$30*O92,0)</f>
        <v/>
      </c>
      <c r="BT92" s="14">
        <f>IF(A92&gt;=household!$B$9+$B$27,household!$B$12*12*$B$31*O92,0)</f>
        <v/>
      </c>
      <c r="BU92" s="14">
        <f>IF(A92&gt;=household!$B$6+$B$28,tax_tables!$B$19*12*P92*MIN(1,household!$B$13/40)*$B$32*(1+tax_tables!$B$20*(B92&gt;=75)),0)</f>
        <v/>
      </c>
      <c r="BV92" s="14">
        <f>IF(A92&gt;=household!$B$9+$B$29,tax_tables!$B$19*12*P92*MIN(1,household!$B$14/40)*$B$33*(1+tax_tables!$B$20*(C92&gt;=75)),0)</f>
        <v/>
      </c>
      <c r="BW92" s="14">
        <f>IF(AND($B$36&lt;&gt;0,A92&gt;=household!$B$6+$B$37),$B$36*(1+$B$17)^(MAX(household!$B$6+$B$37,household!$B$4-1)-household!$B$4+1)*(1+$B$40*$B$17)^(A92-MAX(household!$B$6+$B$37,household!$B$4-1)),0)</f>
        <v/>
      </c>
      <c r="BX92" s="14">
        <f>IF(AND($B$38&lt;&gt;0,A92&gt;=household!$B$9+$B$39),$B$38*(1+$B$17)^(MAX(household!$B$9+$B$39,household!$B$4-1)-household!$B$4+1)*(1+$B$40*$B$17)^(A92-MAX(household!$B$9+$B$39,household!$B$4-1)),0)</f>
        <v/>
      </c>
      <c r="BY92" s="14">
        <f>CZ91</f>
        <v/>
      </c>
      <c r="BZ92" s="14">
        <f>DA91</f>
        <v/>
      </c>
      <c r="CA92" s="14">
        <f>$B$19*BY92</f>
        <v/>
      </c>
      <c r="CB92" s="14">
        <f>DB91</f>
        <v/>
      </c>
      <c r="CC92" s="14">
        <f>DC91</f>
        <v/>
      </c>
      <c r="CD92" s="14">
        <f>IF(B92&gt;=tax_tables!$B$46,MAX(0,CB92)*INDEX(tax_tables!$N$5:$N$54,MATCH(MIN(B92-1,120),tax_tables!$M$5:$M$54,0)),0)</f>
        <v/>
      </c>
      <c r="CE92" s="14">
        <f>IF(C92&gt;=tax_tables!$B$46,MAX(0,CC92)*INDEX(tax_tables!$N$5:$N$54,MATCH(MIN(C92-1,120),tax_tables!$M$5:$M$54,0)),0)</f>
        <v/>
      </c>
      <c r="CF92" s="14">
        <f>DD91</f>
        <v/>
      </c>
      <c r="CG92" s="14">
        <f>IF(OR($B$52="",$B$53=""),0,IF(AND(A92&gt;=$B$52,A92&lt;=$B$53),$B$51*O92,0))</f>
        <v/>
      </c>
      <c r="CH92" s="14">
        <f>MAX(0,CB92*(1+M92)-CD92)</f>
        <v/>
      </c>
      <c r="CI92" s="14">
        <f>MAX(0,CC92*(1+M92)-CE92)</f>
        <v/>
      </c>
      <c r="CJ92" s="14">
        <f>MIN(CG92,CH92+CI92)</f>
        <v/>
      </c>
      <c r="CK92" s="14">
        <f>IF(CH92+CI92&gt;1,CJ92*CH92/(CH92+CI92),0)</f>
        <v/>
      </c>
      <c r="CL92" s="14">
        <f>CJ92-CK92</f>
        <v/>
      </c>
      <c r="CM92" s="14">
        <f>CM91-CW91+CU91+tax_tables!$B$32*P92*2</f>
        <v/>
      </c>
      <c r="CN92" s="14">
        <f>EC91-AI91</f>
        <v/>
      </c>
      <c r="CO92" s="14">
        <f>AJ92+F92+BW92+BX92+BK92+CA92+CD92+CE92+BN92+AK92+AL92+CJ92</f>
        <v/>
      </c>
      <c r="CP92" s="14">
        <f>D92+CN92-CO92</f>
        <v/>
      </c>
      <c r="CQ92" s="14">
        <f>MAX(0,MIN(CP92,BY92*(1+M92-$B$19)))</f>
        <v/>
      </c>
      <c r="CR92" s="14">
        <f>MAX(0,MIN(CP92-CQ92,(CH92-CK92)+(CI92-CL92)))</f>
        <v/>
      </c>
      <c r="CS92" s="14">
        <f>IF((CH92-CK92)+(CI92-CL92)&gt;1,CR92*(CH92-CK92)/((CH92-CK92)+(CI92-CL92)),0)</f>
        <v/>
      </c>
      <c r="CT92" s="14">
        <f>CR92-CS92</f>
        <v/>
      </c>
      <c r="CU92" s="14">
        <f>MAX(0,MIN(CP92-CQ92-CR92,CF92*(1+M92)))</f>
        <v/>
      </c>
      <c r="CV92" s="14">
        <f>MAX(0,-CP92)</f>
        <v/>
      </c>
      <c r="CW92" s="14">
        <f>MIN(CV92,MAX(0,CM92))</f>
        <v/>
      </c>
      <c r="CX92" s="22">
        <f>IF(BY92&gt;0,MAX(0,1-BZ92/BY92),0)</f>
        <v/>
      </c>
      <c r="CY92" s="14">
        <f>CQ92*CX92</f>
        <v/>
      </c>
      <c r="CZ92" s="14">
        <f>BY92*(1+M92-$B$19)-CQ92+(CV92-CW92)</f>
        <v/>
      </c>
      <c r="DA92" s="14">
        <f>BZ92-(CQ92-CY92)+(CV92-CW92)</f>
        <v/>
      </c>
      <c r="DB92" s="14">
        <f>CB92*(1+M92)-CD92-CS92-CK92+Z92+AB92</f>
        <v/>
      </c>
      <c r="DC92" s="14">
        <f>CC92*(1+M92)-CE92-CT92-CL92+AA92+AC92</f>
        <v/>
      </c>
      <c r="DD92" s="14">
        <f>CF92*(1+M92)-CU92+CW92</f>
        <v/>
      </c>
      <c r="DE92" s="14">
        <f>CD92+CK92+CS92</f>
        <v/>
      </c>
      <c r="DF92" s="14">
        <f>CA92*household!$B$15*$B$20*(1+tax_tables!$B$17)</f>
        <v/>
      </c>
      <c r="DG92" s="14">
        <f>X92+BS92+BU92+BW92+DE92+DF92+CA92*household!$B$15*(1-$B$20)+(CY92+BO92)*household!$B$15*tax_tables!$B$18+(BP92+BM92+AK92)*household!$B$15-Z92</f>
        <v/>
      </c>
      <c r="DH92" s="14">
        <f>CE92+CL92+CT92</f>
        <v/>
      </c>
      <c r="DI92" s="14">
        <f>CA92*(1-household!$B$15)*$B$20*(1+tax_tables!$B$17)</f>
        <v/>
      </c>
      <c r="DJ92" s="14">
        <f>Y92+BT92+BV92+BX92+DH92+DI92+CA92*(1-household!$B$15)*(1-$B$20)+(CY92+BO92)*(1-household!$B$15)*tax_tables!$B$18+(BP92+BM92+AK92)*(1-household!$B$15)-AA92</f>
        <v/>
      </c>
      <c r="DK92" s="14">
        <f>IF((DG92&gt;=DJ92),MIN(0.5*(BW92+IF(B92&gt;=65,DE92,0)),MAX(0,(DG92-DJ92)/2)),MIN(0.5*(BX92+IF(C92&gt;=65,DH92,0)),MAX(0,(DJ92-DG92)/2)))</f>
        <v/>
      </c>
      <c r="DL92" s="14">
        <f>DG92+IF((DG92&gt;=DJ92),-DK92,DK92)</f>
        <v/>
      </c>
      <c r="DM92" s="14">
        <f>BW92+IF(B92&gt;=65,DE92,0)+IF((DG92&gt;=DJ92),-DK92,DK92)</f>
        <v/>
      </c>
      <c r="DN92" s="14">
        <f>MIN(BU92,tax_tables!$B$22*MAX(0,DL92-tax_tables!$B$21*P92))</f>
        <v/>
      </c>
      <c r="DO92" s="14">
        <f>MAX(0,DL92-DN92)</f>
        <v/>
      </c>
      <c r="DP92" s="14">
        <f>DJ92+IF((DG92&gt;=DJ92),DK92,-DK92)</f>
        <v/>
      </c>
      <c r="DQ92" s="14">
        <f>BX92+IF(C92&gt;=65,DH92,0)+IF((DG92&gt;=DJ92),DK92,-DK92)</f>
        <v/>
      </c>
      <c r="DR92" s="14">
        <f>MIN(BV92,tax_tables!$B$22*MAX(0,DP92-tax_tables!$B$21*P92))</f>
        <v/>
      </c>
      <c r="DS92" s="14">
        <f>MAX(0,DP92-DR92)</f>
        <v/>
      </c>
      <c r="DT92" s="14">
        <f>BJ92-BD92</f>
        <v/>
      </c>
      <c r="DU92" s="14">
        <f>(tax_tables!$B$6-(tax_tables!$B$6-tax_tables!$B$7)*MIN(1,MAX(0,(DL92-tax_tables!$B$8*P92)/((tax_tables!$B$9-tax_tables!$B$8)*P92))))*P92+(B92&gt;=65)*MAX(0,tax_tables!$B$10*P92-tax_tables!$B$12*MAX(0,DL92-tax_tables!$B$11*P92))+MIN(tax_tables!$B$13,DM92)+MIN(tax_tables!$B$14*P92,X92)+AF92+(DL92&lt;=DP92)*MAX(0,DT92-MIN(0.03*DL92,tax_tables!$B$15*P92))</f>
        <v/>
      </c>
      <c r="DV92" s="14">
        <f>MAX(0,SUMPRODUCT((DO92&gt;tax_tables!$E$5:$E$16*P92)*(DO92-tax_tables!$E$5:$E$16*P92)*tax_tables!$G$5:$G$16)-tax_tables!$B$5*DU92-tax_tables!$B$16*DF92)</f>
        <v/>
      </c>
      <c r="DW92" s="14">
        <f>tax_tables!$B$35*Q92+(B92&gt;=65)*MAX(0,tax_tables!$B$36*Q92-tax_tables!$B$12*MAX(0,DL92-tax_tables!$B$37*Q92))+MIN(tax_tables!$B$38,DM92)+AF92+(DL92&lt;=DP92)*MAX(0,DT92-MIN(0.03*DL92,tax_tables!$B$39*Q92))</f>
        <v/>
      </c>
      <c r="DX92" s="14">
        <f>MAX(0,SUMPRODUCT((DO92&gt;tax_tables!$I$5:$I$16*Q92)*(DO92-tax_tables!$I$5:$I$16*Q92)*tax_tables!$K$5:$K$16)-tax_tables!$B$34*DW92-tax_tables!$B$40*DF92-MAX(0,tax_tables!$B$41*Q92-tax_tables!$B$43*MAX(0,DL92-tax_tables!$B$42*Q92)))</f>
        <v/>
      </c>
      <c r="DY92" s="14">
        <f>(tax_tables!$B$6-(tax_tables!$B$6-tax_tables!$B$7)*MIN(1,MAX(0,(DP92-tax_tables!$B$8*P92)/((tax_tables!$B$9-tax_tables!$B$8)*P92))))*P92+(C92&gt;=65)*MAX(0,tax_tables!$B$10*P92-tax_tables!$B$12*MAX(0,DP92-tax_tables!$B$11*P92))+MIN(tax_tables!$B$13,DQ92)+MIN(tax_tables!$B$14*P92,Y92)+AG92+(DL92&gt;DP92)*MAX(0,DT92-MIN(0.03*DP92,tax_tables!$B$15*P92))</f>
        <v/>
      </c>
      <c r="DZ92" s="14">
        <f>MAX(0,SUMPRODUCT((DS92&gt;tax_tables!$E$5:$E$16*P92)*(DS92-tax_tables!$E$5:$E$16*P92)*tax_tables!$G$5:$G$16)-tax_tables!$B$5*DY92-tax_tables!$B$16*DI92)</f>
        <v/>
      </c>
      <c r="EA92" s="14">
        <f>tax_tables!$B$35*Q92+(C92&gt;=65)*MAX(0,tax_tables!$B$36*Q92-tax_tables!$B$12*MAX(0,DP92-tax_tables!$B$37*Q92))+MIN(tax_tables!$B$38,DQ92)+AG92+(DL92&gt;DP92)*MAX(0,DT92-MIN(0.03*DP92,tax_tables!$B$39*Q92))</f>
        <v/>
      </c>
      <c r="EB92" s="14">
        <f>MAX(0,SUMPRODUCT((DS92&gt;tax_tables!$I$5:$I$16*Q92)*(DS92-tax_tables!$I$5:$I$16*Q92)*tax_tables!$K$5:$K$16)-tax_tables!$B$34*EA92-tax_tables!$B$40*DI92-MAX(0,tax_tables!$B$41*Q92-tax_tables!$B$43*MAX(0,DP92-tax_tables!$B$42*Q92)))</f>
        <v/>
      </c>
      <c r="EC92" s="14">
        <f>DV92+DZ92+DX92+EB92+DN92+DR92</f>
        <v/>
      </c>
      <c r="ED92" s="14">
        <f>CZ92+DB92+DC92+DD92</f>
        <v/>
      </c>
      <c r="EE92" s="14">
        <f>ED92+BQ92-AR92+BR92</f>
        <v/>
      </c>
    </row>
    <row r="93">
      <c r="A93" s="21">
        <f>A92+1</f>
        <v/>
      </c>
      <c r="B93" s="21">
        <f>A93-household!$B$6</f>
        <v/>
      </c>
      <c r="C93" s="21">
        <f>A93-household!$B$9</f>
        <v/>
      </c>
      <c r="D93" s="14">
        <f>AU93+AV93+AW93+AX93+BB93+BJ93+AM93</f>
        <v/>
      </c>
      <c r="E93" s="14">
        <f>CN93+AI93+AH93</f>
        <v/>
      </c>
      <c r="F93" s="14">
        <f>BS93+BT93+BU93+BV93</f>
        <v/>
      </c>
      <c r="G93" s="14">
        <f>CQ93+CR93+CU93+CD93+CE93+CA93-CV93+CJ93+CW93</f>
        <v/>
      </c>
      <c r="H93" s="22">
        <f>IF(BY93+CB93+CC93+CF93&lt;=0,"",G93/(BY93+CB93+CC93+CF93))</f>
        <v/>
      </c>
      <c r="I93" s="23">
        <f>ED93/O93</f>
        <v/>
      </c>
      <c r="J93" s="23">
        <f>EE93/O93</f>
        <v/>
      </c>
      <c r="K93" s="14">
        <f>MAX(0,CP93-CQ93-CR93-CU93)</f>
        <v/>
      </c>
      <c r="L93" s="10" t="n"/>
      <c r="M93" s="22">
        <f>IF(L93="",$B$18,L93)</f>
        <v/>
      </c>
      <c r="N93" s="13" t="n"/>
      <c r="O93" s="12">
        <f>(1+$B$17)^(A93-household!$B$4+1)</f>
        <v/>
      </c>
      <c r="P93" s="12">
        <f>(1+$B$17)^(A93-tax_tables!$B$4)</f>
        <v/>
      </c>
      <c r="Q93" s="12">
        <f>(1+$B$17)^(A93-tax_tables!$B$4-MAX(0,MIN(A93,tax_tables!$B$45)-tax_tables!$B$44+1))</f>
        <v/>
      </c>
      <c r="R93" s="12">
        <f>(1+$B$21)^(A93-household!$B$4+1)</f>
        <v/>
      </c>
      <c r="S93" s="12">
        <f>(1+$B$22)^(A93-household!$B$4+1)</f>
        <v/>
      </c>
      <c r="T93" s="12">
        <f>(1+$B$23)^(A93-household!$B$4+1)</f>
        <v/>
      </c>
      <c r="U93" s="21">
        <f>IF(A93&lt;$B$5,1,0)</f>
        <v/>
      </c>
      <c r="V93" s="21">
        <f>IF(A93&lt;$B$6,1,0)</f>
        <v/>
      </c>
      <c r="W93" s="21">
        <f>IF(U93+V93&gt;0,1,0)</f>
        <v/>
      </c>
      <c r="X93" s="14">
        <f>U93*$B$7*O93+SUMPRODUCT(($B$72:$B$77=A93)*($D$72:$D$77="Wages: person 1")*$C$72:$C$77)*O93</f>
        <v/>
      </c>
      <c r="Y93" s="14">
        <f>V93*$B$8*O93+SUMPRODUCT(($B$72:$B$77=A93)*($D$72:$D$77="Wages: person 2")*$C$72:$C$77)*O93</f>
        <v/>
      </c>
      <c r="Z93" s="14">
        <f>U93*$B$9*O93</f>
        <v/>
      </c>
      <c r="AA93" s="14">
        <f>V93*$B$10*O93</f>
        <v/>
      </c>
      <c r="AB93" s="14">
        <f>U93*$B$11*O93</f>
        <v/>
      </c>
      <c r="AC93" s="14">
        <f>V93*$B$12*O93</f>
        <v/>
      </c>
      <c r="AD93" s="14">
        <f>X93+Y93</f>
        <v/>
      </c>
      <c r="AE93" s="14">
        <f>AD93-Z93-AA93</f>
        <v/>
      </c>
      <c r="AF93" s="14">
        <f>tax_tables!$B$25*MAX(0,MIN(X93,tax_tables!$B$27*P93)-tax_tables!$B$26)+tax_tables!$B$28*MAX(0,MIN(X93,tax_tables!$B$29*P93)-tax_tables!$B$27*P93)+tax_tables!$B$30*MIN(X93,tax_tables!$B$31*P93)</f>
        <v/>
      </c>
      <c r="AG93" s="14">
        <f>tax_tables!$B$25*MAX(0,MIN(Y93,tax_tables!$B$27*P93)-tax_tables!$B$26)+tax_tables!$B$28*MAX(0,MIN(Y93,tax_tables!$B$29*P93)-tax_tables!$B$27*P93)+tax_tables!$B$30*MIN(Y93,tax_tables!$B$31*P93)</f>
        <v/>
      </c>
      <c r="AH93" s="14">
        <f>AF93+AG93</f>
        <v/>
      </c>
      <c r="AI93" s="14">
        <f>$B$13*AE93</f>
        <v/>
      </c>
      <c r="AJ93" s="14">
        <f>AD93-Z93-AA93-AH93-AI93</f>
        <v/>
      </c>
      <c r="AK93" s="14">
        <f>SUMPRODUCT(($B$72:$B$77=A93)*($D$72:$D$77="Other taxable income")*$C$72:$C$77)*O93</f>
        <v/>
      </c>
      <c r="AL93" s="14">
        <f>SUMPRODUCT(($B$72:$B$77=A93)*($D$72:$D$77="Tax-free money in")*$C$72:$C$77)*O93</f>
        <v/>
      </c>
      <c r="AM93" s="14">
        <f>SUMPRODUCT(($B$72:$B$77=A93)*($D$72:$D$77="Expense")*$C$72:$C$77)*O93</f>
        <v/>
      </c>
      <c r="AN93" s="21">
        <f>IF(OR($B$64="",A93&lt;$B$64),1,0)</f>
        <v/>
      </c>
      <c r="AO93" s="14">
        <f>AR92</f>
        <v/>
      </c>
      <c r="AP93" s="14">
        <f>AN93*AO93*properties!$J$2</f>
        <v/>
      </c>
      <c r="AQ93" s="14">
        <f>AN93*MIN(properties!$K$2,AO93+AP93)</f>
        <v/>
      </c>
      <c r="AR93" s="14">
        <f>AN93*(AO93+AP93-AQ93)</f>
        <v/>
      </c>
      <c r="AS93" s="14">
        <f>AN93*properties!$G$2*O93</f>
        <v/>
      </c>
      <c r="AT93" s="14">
        <f>(1-AN93)*$E$64*O93</f>
        <v/>
      </c>
      <c r="AU93" s="14">
        <f>AQ93+AS93+AT93</f>
        <v/>
      </c>
      <c r="AV93" s="14">
        <f>SUMIF(budget!$A$2:$A$300,"household",budget!$F$2:$F$300)*O93*IF(N93="",1,N93)</f>
        <v/>
      </c>
      <c r="AW93" s="14">
        <f>SUMPRODUCT((other_budget!$C$2:$C$30&lt;=A93)*(other_budget!$D$2:$D$30&gt;=A93)*other_budget!$B$2:$B$30)*O93</f>
        <v/>
      </c>
      <c r="AX93" s="14">
        <f>SUMPRODUCT((kids_budget!$D$2:$D$40&lt;=A93)*(kids_budget!$E$2:$E$40&gt;=A93)*(kids_budget!$G$2:$G$40&lt;&gt;"college_funds")*kids_budget!$C$2:$C$40*((kids_budget!$F$2:$F$40="college")*S93+(kids_budget!$F$2:$F$40&lt;&gt;"college")*O93))</f>
        <v/>
      </c>
      <c r="AY93" s="14">
        <f>SUMPRODUCT((kids_budget!$D$2:$D$40&lt;=A93)*(kids_budget!$E$2:$E$40&gt;=A93)*(kids_budget!$G$2:$G$40="college_funds")*kids_budget!$C$2:$C$40*((kids_budget!$F$2:$F$40="college")*S93+(kids_budget!$F$2:$F$40&lt;&gt;"college")*O93))</f>
        <v/>
      </c>
      <c r="AZ93" s="14">
        <f>BC92</f>
        <v/>
      </c>
      <c r="BA93" s="14">
        <f>MIN(AY93,AZ93*(1+M93))</f>
        <v/>
      </c>
      <c r="BB93" s="14">
        <f>AY93-BA93</f>
        <v/>
      </c>
      <c r="BC93" s="14">
        <f>AZ93*(1+M93)-BA93</f>
        <v/>
      </c>
      <c r="BD93" s="14">
        <f>W93*healthcare!$B$2*R93</f>
        <v/>
      </c>
      <c r="BE93" s="21">
        <f>(1-W93)*2</f>
        <v/>
      </c>
      <c r="BF93" s="14">
        <f>BE93*healthcare!$B$3*12*R93</f>
        <v/>
      </c>
      <c r="BG93" s="14">
        <f>BE93*healthcare!$B$4*R93</f>
        <v/>
      </c>
      <c r="BH93" s="21">
        <f>AND(B93&gt;=$B$44,B93&lt;$B$44+$B$45)*1+AND(C93&gt;=$B$46,C93&lt;$B$46+$B$47)*1</f>
        <v/>
      </c>
      <c r="BI93" s="14">
        <f>BH93*$B$48*T93</f>
        <v/>
      </c>
      <c r="BJ93" s="14">
        <f>BD93+BF93+BG93+BI93</f>
        <v/>
      </c>
      <c r="BK93" s="14">
        <f>SUMPRODUCT((1-($B$65:$B$68&gt;0)*(A93&gt;=$B$65:$B$68))*(1-(($C$65:$C$68&gt;0)*(A93&gt;=$C$65:$C$68)))*(properties!$L$3:$L$6-properties!$M$3:$M$6))*O93+SUMPRODUCT((1-($B$65:$B$68&gt;0)*(A93&gt;=$B$65:$B$68))*(($C$65:$C$68&gt;0)*(A93&gt;=$C$65:$C$68))*($D$65:$D$68-$E$65:$E$68))*O93</f>
        <v/>
      </c>
      <c r="BL93" s="14">
        <f>SUMPRODUCT((1-($B$65:$B$68&gt;0)*(A93&gt;=$B$65:$B$68))*properties!$N$3:$N$6*(A93&lt;=properties!$O$3:$O$6))</f>
        <v/>
      </c>
      <c r="BM93" s="14">
        <f>MAX(0,BK93-BL93)</f>
        <v/>
      </c>
      <c r="BN93" s="14">
        <f>SUMPRODUCT(($B$64:$B$68=A93)*$G$64:$G$68)</f>
        <v/>
      </c>
      <c r="BO93" s="14">
        <f>SUMPRODUCT(($B$64:$B$68=A93)*$H$64:$H$68)</f>
        <v/>
      </c>
      <c r="BP93" s="14">
        <f>SUMPRODUCT(($B$64:$B$68=A93)*$I$64:$I$68)</f>
        <v/>
      </c>
      <c r="BQ93" s="14">
        <f>AN93*properties!$C$2*(1+properties!$D$2)^(A93-household!$B$4+1)</f>
        <v/>
      </c>
      <c r="BR93" s="14">
        <f>SUMPRODUCT((1-($B$65:$B$68&gt;0)*(A93&gt;=$B$65:$B$68))*properties!$C$3:$C$6*(1+properties!$D$3:$D$6)^(A93-household!$B$4+1))</f>
        <v/>
      </c>
      <c r="BS93" s="14">
        <f>IF(A93&gt;=household!$B$6+$B$26,household!$B$11*12*$B$30*O93,0)</f>
        <v/>
      </c>
      <c r="BT93" s="14">
        <f>IF(A93&gt;=household!$B$9+$B$27,household!$B$12*12*$B$31*O93,0)</f>
        <v/>
      </c>
      <c r="BU93" s="14">
        <f>IF(A93&gt;=household!$B$6+$B$28,tax_tables!$B$19*12*P93*MIN(1,household!$B$13/40)*$B$32*(1+tax_tables!$B$20*(B93&gt;=75)),0)</f>
        <v/>
      </c>
      <c r="BV93" s="14">
        <f>IF(A93&gt;=household!$B$9+$B$29,tax_tables!$B$19*12*P93*MIN(1,household!$B$14/40)*$B$33*(1+tax_tables!$B$20*(C93&gt;=75)),0)</f>
        <v/>
      </c>
      <c r="BW93" s="14">
        <f>IF(AND($B$36&lt;&gt;0,A93&gt;=household!$B$6+$B$37),$B$36*(1+$B$17)^(MAX(household!$B$6+$B$37,household!$B$4-1)-household!$B$4+1)*(1+$B$40*$B$17)^(A93-MAX(household!$B$6+$B$37,household!$B$4-1)),0)</f>
        <v/>
      </c>
      <c r="BX93" s="14">
        <f>IF(AND($B$38&lt;&gt;0,A93&gt;=household!$B$9+$B$39),$B$38*(1+$B$17)^(MAX(household!$B$9+$B$39,household!$B$4-1)-household!$B$4+1)*(1+$B$40*$B$17)^(A93-MAX(household!$B$9+$B$39,household!$B$4-1)),0)</f>
        <v/>
      </c>
      <c r="BY93" s="14">
        <f>CZ92</f>
        <v/>
      </c>
      <c r="BZ93" s="14">
        <f>DA92</f>
        <v/>
      </c>
      <c r="CA93" s="14">
        <f>$B$19*BY93</f>
        <v/>
      </c>
      <c r="CB93" s="14">
        <f>DB92</f>
        <v/>
      </c>
      <c r="CC93" s="14">
        <f>DC92</f>
        <v/>
      </c>
      <c r="CD93" s="14">
        <f>IF(B93&gt;=tax_tables!$B$46,MAX(0,CB93)*INDEX(tax_tables!$N$5:$N$54,MATCH(MIN(B93-1,120),tax_tables!$M$5:$M$54,0)),0)</f>
        <v/>
      </c>
      <c r="CE93" s="14">
        <f>IF(C93&gt;=tax_tables!$B$46,MAX(0,CC93)*INDEX(tax_tables!$N$5:$N$54,MATCH(MIN(C93-1,120),tax_tables!$M$5:$M$54,0)),0)</f>
        <v/>
      </c>
      <c r="CF93" s="14">
        <f>DD92</f>
        <v/>
      </c>
      <c r="CG93" s="14">
        <f>IF(OR($B$52="",$B$53=""),0,IF(AND(A93&gt;=$B$52,A93&lt;=$B$53),$B$51*O93,0))</f>
        <v/>
      </c>
      <c r="CH93" s="14">
        <f>MAX(0,CB93*(1+M93)-CD93)</f>
        <v/>
      </c>
      <c r="CI93" s="14">
        <f>MAX(0,CC93*(1+M93)-CE93)</f>
        <v/>
      </c>
      <c r="CJ93" s="14">
        <f>MIN(CG93,CH93+CI93)</f>
        <v/>
      </c>
      <c r="CK93" s="14">
        <f>IF(CH93+CI93&gt;1,CJ93*CH93/(CH93+CI93),0)</f>
        <v/>
      </c>
      <c r="CL93" s="14">
        <f>CJ93-CK93</f>
        <v/>
      </c>
      <c r="CM93" s="14">
        <f>CM92-CW92+CU92+tax_tables!$B$32*P93*2</f>
        <v/>
      </c>
      <c r="CN93" s="14">
        <f>EC92-AI92</f>
        <v/>
      </c>
      <c r="CO93" s="14">
        <f>AJ93+F93+BW93+BX93+BK93+CA93+CD93+CE93+BN93+AK93+AL93+CJ93</f>
        <v/>
      </c>
      <c r="CP93" s="14">
        <f>D93+CN93-CO93</f>
        <v/>
      </c>
      <c r="CQ93" s="14">
        <f>MAX(0,MIN(CP93,BY93*(1+M93-$B$19)))</f>
        <v/>
      </c>
      <c r="CR93" s="14">
        <f>MAX(0,MIN(CP93-CQ93,(CH93-CK93)+(CI93-CL93)))</f>
        <v/>
      </c>
      <c r="CS93" s="14">
        <f>IF((CH93-CK93)+(CI93-CL93)&gt;1,CR93*(CH93-CK93)/((CH93-CK93)+(CI93-CL93)),0)</f>
        <v/>
      </c>
      <c r="CT93" s="14">
        <f>CR93-CS93</f>
        <v/>
      </c>
      <c r="CU93" s="14">
        <f>MAX(0,MIN(CP93-CQ93-CR93,CF93*(1+M93)))</f>
        <v/>
      </c>
      <c r="CV93" s="14">
        <f>MAX(0,-CP93)</f>
        <v/>
      </c>
      <c r="CW93" s="14">
        <f>MIN(CV93,MAX(0,CM93))</f>
        <v/>
      </c>
      <c r="CX93" s="22">
        <f>IF(BY93&gt;0,MAX(0,1-BZ93/BY93),0)</f>
        <v/>
      </c>
      <c r="CY93" s="14">
        <f>CQ93*CX93</f>
        <v/>
      </c>
      <c r="CZ93" s="14">
        <f>BY93*(1+M93-$B$19)-CQ93+(CV93-CW93)</f>
        <v/>
      </c>
      <c r="DA93" s="14">
        <f>BZ93-(CQ93-CY93)+(CV93-CW93)</f>
        <v/>
      </c>
      <c r="DB93" s="14">
        <f>CB93*(1+M93)-CD93-CS93-CK93+Z93+AB93</f>
        <v/>
      </c>
      <c r="DC93" s="14">
        <f>CC93*(1+M93)-CE93-CT93-CL93+AA93+AC93</f>
        <v/>
      </c>
      <c r="DD93" s="14">
        <f>CF93*(1+M93)-CU93+CW93</f>
        <v/>
      </c>
      <c r="DE93" s="14">
        <f>CD93+CK93+CS93</f>
        <v/>
      </c>
      <c r="DF93" s="14">
        <f>CA93*household!$B$15*$B$20*(1+tax_tables!$B$17)</f>
        <v/>
      </c>
      <c r="DG93" s="14">
        <f>X93+BS93+BU93+BW93+DE93+DF93+CA93*household!$B$15*(1-$B$20)+(CY93+BO93)*household!$B$15*tax_tables!$B$18+(BP93+BM93+AK93)*household!$B$15-Z93</f>
        <v/>
      </c>
      <c r="DH93" s="14">
        <f>CE93+CL93+CT93</f>
        <v/>
      </c>
      <c r="DI93" s="14">
        <f>CA93*(1-household!$B$15)*$B$20*(1+tax_tables!$B$17)</f>
        <v/>
      </c>
      <c r="DJ93" s="14">
        <f>Y93+BT93+BV93+BX93+DH93+DI93+CA93*(1-household!$B$15)*(1-$B$20)+(CY93+BO93)*(1-household!$B$15)*tax_tables!$B$18+(BP93+BM93+AK93)*(1-household!$B$15)-AA93</f>
        <v/>
      </c>
      <c r="DK93" s="14">
        <f>IF((DG93&gt;=DJ93),MIN(0.5*(BW93+IF(B93&gt;=65,DE93,0)),MAX(0,(DG93-DJ93)/2)),MIN(0.5*(BX93+IF(C93&gt;=65,DH93,0)),MAX(0,(DJ93-DG93)/2)))</f>
        <v/>
      </c>
      <c r="DL93" s="14">
        <f>DG93+IF((DG93&gt;=DJ93),-DK93,DK93)</f>
        <v/>
      </c>
      <c r="DM93" s="14">
        <f>BW93+IF(B93&gt;=65,DE93,0)+IF((DG93&gt;=DJ93),-DK93,DK93)</f>
        <v/>
      </c>
      <c r="DN93" s="14">
        <f>MIN(BU93,tax_tables!$B$22*MAX(0,DL93-tax_tables!$B$21*P93))</f>
        <v/>
      </c>
      <c r="DO93" s="14">
        <f>MAX(0,DL93-DN93)</f>
        <v/>
      </c>
      <c r="DP93" s="14">
        <f>DJ93+IF((DG93&gt;=DJ93),DK93,-DK93)</f>
        <v/>
      </c>
      <c r="DQ93" s="14">
        <f>BX93+IF(C93&gt;=65,DH93,0)+IF((DG93&gt;=DJ93),DK93,-DK93)</f>
        <v/>
      </c>
      <c r="DR93" s="14">
        <f>MIN(BV93,tax_tables!$B$22*MAX(0,DP93-tax_tables!$B$21*P93))</f>
        <v/>
      </c>
      <c r="DS93" s="14">
        <f>MAX(0,DP93-DR93)</f>
        <v/>
      </c>
      <c r="DT93" s="14">
        <f>BJ93-BD93</f>
        <v/>
      </c>
      <c r="DU93" s="14">
        <f>(tax_tables!$B$6-(tax_tables!$B$6-tax_tables!$B$7)*MIN(1,MAX(0,(DL93-tax_tables!$B$8*P93)/((tax_tables!$B$9-tax_tables!$B$8)*P93))))*P93+(B93&gt;=65)*MAX(0,tax_tables!$B$10*P93-tax_tables!$B$12*MAX(0,DL93-tax_tables!$B$11*P93))+MIN(tax_tables!$B$13,DM93)+MIN(tax_tables!$B$14*P93,X93)+AF93+(DL93&lt;=DP93)*MAX(0,DT93-MIN(0.03*DL93,tax_tables!$B$15*P93))</f>
        <v/>
      </c>
      <c r="DV93" s="14">
        <f>MAX(0,SUMPRODUCT((DO93&gt;tax_tables!$E$5:$E$16*P93)*(DO93-tax_tables!$E$5:$E$16*P93)*tax_tables!$G$5:$G$16)-tax_tables!$B$5*DU93-tax_tables!$B$16*DF93)</f>
        <v/>
      </c>
      <c r="DW93" s="14">
        <f>tax_tables!$B$35*Q93+(B93&gt;=65)*MAX(0,tax_tables!$B$36*Q93-tax_tables!$B$12*MAX(0,DL93-tax_tables!$B$37*Q93))+MIN(tax_tables!$B$38,DM93)+AF93+(DL93&lt;=DP93)*MAX(0,DT93-MIN(0.03*DL93,tax_tables!$B$39*Q93))</f>
        <v/>
      </c>
      <c r="DX93" s="14">
        <f>MAX(0,SUMPRODUCT((DO93&gt;tax_tables!$I$5:$I$16*Q93)*(DO93-tax_tables!$I$5:$I$16*Q93)*tax_tables!$K$5:$K$16)-tax_tables!$B$34*DW93-tax_tables!$B$40*DF93-MAX(0,tax_tables!$B$41*Q93-tax_tables!$B$43*MAX(0,DL93-tax_tables!$B$42*Q93)))</f>
        <v/>
      </c>
      <c r="DY93" s="14">
        <f>(tax_tables!$B$6-(tax_tables!$B$6-tax_tables!$B$7)*MIN(1,MAX(0,(DP93-tax_tables!$B$8*P93)/((tax_tables!$B$9-tax_tables!$B$8)*P93))))*P93+(C93&gt;=65)*MAX(0,tax_tables!$B$10*P93-tax_tables!$B$12*MAX(0,DP93-tax_tables!$B$11*P93))+MIN(tax_tables!$B$13,DQ93)+MIN(tax_tables!$B$14*P93,Y93)+AG93+(DL93&gt;DP93)*MAX(0,DT93-MIN(0.03*DP93,tax_tables!$B$15*P93))</f>
        <v/>
      </c>
      <c r="DZ93" s="14">
        <f>MAX(0,SUMPRODUCT((DS93&gt;tax_tables!$E$5:$E$16*P93)*(DS93-tax_tables!$E$5:$E$16*P93)*tax_tables!$G$5:$G$16)-tax_tables!$B$5*DY93-tax_tables!$B$16*DI93)</f>
        <v/>
      </c>
      <c r="EA93" s="14">
        <f>tax_tables!$B$35*Q93+(C93&gt;=65)*MAX(0,tax_tables!$B$36*Q93-tax_tables!$B$12*MAX(0,DP93-tax_tables!$B$37*Q93))+MIN(tax_tables!$B$38,DQ93)+AG93+(DL93&gt;DP93)*MAX(0,DT93-MIN(0.03*DP93,tax_tables!$B$39*Q93))</f>
        <v/>
      </c>
      <c r="EB93" s="14">
        <f>MAX(0,SUMPRODUCT((DS93&gt;tax_tables!$I$5:$I$16*Q93)*(DS93-tax_tables!$I$5:$I$16*Q93)*tax_tables!$K$5:$K$16)-tax_tables!$B$34*EA93-tax_tables!$B$40*DI93-MAX(0,tax_tables!$B$41*Q93-tax_tables!$B$43*MAX(0,DP93-tax_tables!$B$42*Q93)))</f>
        <v/>
      </c>
      <c r="EC93" s="14">
        <f>DV93+DZ93+DX93+EB93+DN93+DR93</f>
        <v/>
      </c>
      <c r="ED93" s="14">
        <f>CZ93+DB93+DC93+DD93</f>
        <v/>
      </c>
      <c r="EE93" s="14">
        <f>ED93+BQ93-AR93+BR93</f>
        <v/>
      </c>
    </row>
    <row r="94">
      <c r="A94" s="21">
        <f>A93+1</f>
        <v/>
      </c>
      <c r="B94" s="21">
        <f>A94-household!$B$6</f>
        <v/>
      </c>
      <c r="C94" s="21">
        <f>A94-household!$B$9</f>
        <v/>
      </c>
      <c r="D94" s="14">
        <f>AU94+AV94+AW94+AX94+BB94+BJ94+AM94</f>
        <v/>
      </c>
      <c r="E94" s="14">
        <f>CN94+AI94+AH94</f>
        <v/>
      </c>
      <c r="F94" s="14">
        <f>BS94+BT94+BU94+BV94</f>
        <v/>
      </c>
      <c r="G94" s="14">
        <f>CQ94+CR94+CU94+CD94+CE94+CA94-CV94+CJ94+CW94</f>
        <v/>
      </c>
      <c r="H94" s="22">
        <f>IF(BY94+CB94+CC94+CF94&lt;=0,"",G94/(BY94+CB94+CC94+CF94))</f>
        <v/>
      </c>
      <c r="I94" s="23">
        <f>ED94/O94</f>
        <v/>
      </c>
      <c r="J94" s="23">
        <f>EE94/O94</f>
        <v/>
      </c>
      <c r="K94" s="14">
        <f>MAX(0,CP94-CQ94-CR94-CU94)</f>
        <v/>
      </c>
      <c r="L94" s="10" t="n"/>
      <c r="M94" s="22">
        <f>IF(L94="",$B$18,L94)</f>
        <v/>
      </c>
      <c r="N94" s="13" t="n"/>
      <c r="O94" s="12">
        <f>(1+$B$17)^(A94-household!$B$4+1)</f>
        <v/>
      </c>
      <c r="P94" s="12">
        <f>(1+$B$17)^(A94-tax_tables!$B$4)</f>
        <v/>
      </c>
      <c r="Q94" s="12">
        <f>(1+$B$17)^(A94-tax_tables!$B$4-MAX(0,MIN(A94,tax_tables!$B$45)-tax_tables!$B$44+1))</f>
        <v/>
      </c>
      <c r="R94" s="12">
        <f>(1+$B$21)^(A94-household!$B$4+1)</f>
        <v/>
      </c>
      <c r="S94" s="12">
        <f>(1+$B$22)^(A94-household!$B$4+1)</f>
        <v/>
      </c>
      <c r="T94" s="12">
        <f>(1+$B$23)^(A94-household!$B$4+1)</f>
        <v/>
      </c>
      <c r="U94" s="21">
        <f>IF(A94&lt;$B$5,1,0)</f>
        <v/>
      </c>
      <c r="V94" s="21">
        <f>IF(A94&lt;$B$6,1,0)</f>
        <v/>
      </c>
      <c r="W94" s="21">
        <f>IF(U94+V94&gt;0,1,0)</f>
        <v/>
      </c>
      <c r="X94" s="14">
        <f>U94*$B$7*O94+SUMPRODUCT(($B$72:$B$77=A94)*($D$72:$D$77="Wages: person 1")*$C$72:$C$77)*O94</f>
        <v/>
      </c>
      <c r="Y94" s="14">
        <f>V94*$B$8*O94+SUMPRODUCT(($B$72:$B$77=A94)*($D$72:$D$77="Wages: person 2")*$C$72:$C$77)*O94</f>
        <v/>
      </c>
      <c r="Z94" s="14">
        <f>U94*$B$9*O94</f>
        <v/>
      </c>
      <c r="AA94" s="14">
        <f>V94*$B$10*O94</f>
        <v/>
      </c>
      <c r="AB94" s="14">
        <f>U94*$B$11*O94</f>
        <v/>
      </c>
      <c r="AC94" s="14">
        <f>V94*$B$12*O94</f>
        <v/>
      </c>
      <c r="AD94" s="14">
        <f>X94+Y94</f>
        <v/>
      </c>
      <c r="AE94" s="14">
        <f>AD94-Z94-AA94</f>
        <v/>
      </c>
      <c r="AF94" s="14">
        <f>tax_tables!$B$25*MAX(0,MIN(X94,tax_tables!$B$27*P94)-tax_tables!$B$26)+tax_tables!$B$28*MAX(0,MIN(X94,tax_tables!$B$29*P94)-tax_tables!$B$27*P94)+tax_tables!$B$30*MIN(X94,tax_tables!$B$31*P94)</f>
        <v/>
      </c>
      <c r="AG94" s="14">
        <f>tax_tables!$B$25*MAX(0,MIN(Y94,tax_tables!$B$27*P94)-tax_tables!$B$26)+tax_tables!$B$28*MAX(0,MIN(Y94,tax_tables!$B$29*P94)-tax_tables!$B$27*P94)+tax_tables!$B$30*MIN(Y94,tax_tables!$B$31*P94)</f>
        <v/>
      </c>
      <c r="AH94" s="14">
        <f>AF94+AG94</f>
        <v/>
      </c>
      <c r="AI94" s="14">
        <f>$B$13*AE94</f>
        <v/>
      </c>
      <c r="AJ94" s="14">
        <f>AD94-Z94-AA94-AH94-AI94</f>
        <v/>
      </c>
      <c r="AK94" s="14">
        <f>SUMPRODUCT(($B$72:$B$77=A94)*($D$72:$D$77="Other taxable income")*$C$72:$C$77)*O94</f>
        <v/>
      </c>
      <c r="AL94" s="14">
        <f>SUMPRODUCT(($B$72:$B$77=A94)*($D$72:$D$77="Tax-free money in")*$C$72:$C$77)*O94</f>
        <v/>
      </c>
      <c r="AM94" s="14">
        <f>SUMPRODUCT(($B$72:$B$77=A94)*($D$72:$D$77="Expense")*$C$72:$C$77)*O94</f>
        <v/>
      </c>
      <c r="AN94" s="21">
        <f>IF(OR($B$64="",A94&lt;$B$64),1,0)</f>
        <v/>
      </c>
      <c r="AO94" s="14">
        <f>AR93</f>
        <v/>
      </c>
      <c r="AP94" s="14">
        <f>AN94*AO94*properties!$J$2</f>
        <v/>
      </c>
      <c r="AQ94" s="14">
        <f>AN94*MIN(properties!$K$2,AO94+AP94)</f>
        <v/>
      </c>
      <c r="AR94" s="14">
        <f>AN94*(AO94+AP94-AQ94)</f>
        <v/>
      </c>
      <c r="AS94" s="14">
        <f>AN94*properties!$G$2*O94</f>
        <v/>
      </c>
      <c r="AT94" s="14">
        <f>(1-AN94)*$E$64*O94</f>
        <v/>
      </c>
      <c r="AU94" s="14">
        <f>AQ94+AS94+AT94</f>
        <v/>
      </c>
      <c r="AV94" s="14">
        <f>SUMIF(budget!$A$2:$A$300,"household",budget!$F$2:$F$300)*O94*IF(N94="",1,N94)</f>
        <v/>
      </c>
      <c r="AW94" s="14">
        <f>SUMPRODUCT((other_budget!$C$2:$C$30&lt;=A94)*(other_budget!$D$2:$D$30&gt;=A94)*other_budget!$B$2:$B$30)*O94</f>
        <v/>
      </c>
      <c r="AX94" s="14">
        <f>SUMPRODUCT((kids_budget!$D$2:$D$40&lt;=A94)*(kids_budget!$E$2:$E$40&gt;=A94)*(kids_budget!$G$2:$G$40&lt;&gt;"college_funds")*kids_budget!$C$2:$C$40*((kids_budget!$F$2:$F$40="college")*S94+(kids_budget!$F$2:$F$40&lt;&gt;"college")*O94))</f>
        <v/>
      </c>
      <c r="AY94" s="14">
        <f>SUMPRODUCT((kids_budget!$D$2:$D$40&lt;=A94)*(kids_budget!$E$2:$E$40&gt;=A94)*(kids_budget!$G$2:$G$40="college_funds")*kids_budget!$C$2:$C$40*((kids_budget!$F$2:$F$40="college")*S94+(kids_budget!$F$2:$F$40&lt;&gt;"college")*O94))</f>
        <v/>
      </c>
      <c r="AZ94" s="14">
        <f>BC93</f>
        <v/>
      </c>
      <c r="BA94" s="14">
        <f>MIN(AY94,AZ94*(1+M94))</f>
        <v/>
      </c>
      <c r="BB94" s="14">
        <f>AY94-BA94</f>
        <v/>
      </c>
      <c r="BC94" s="14">
        <f>AZ94*(1+M94)-BA94</f>
        <v/>
      </c>
      <c r="BD94" s="14">
        <f>W94*healthcare!$B$2*R94</f>
        <v/>
      </c>
      <c r="BE94" s="21">
        <f>(1-W94)*2</f>
        <v/>
      </c>
      <c r="BF94" s="14">
        <f>BE94*healthcare!$B$3*12*R94</f>
        <v/>
      </c>
      <c r="BG94" s="14">
        <f>BE94*healthcare!$B$4*R94</f>
        <v/>
      </c>
      <c r="BH94" s="21">
        <f>AND(B94&gt;=$B$44,B94&lt;$B$44+$B$45)*1+AND(C94&gt;=$B$46,C94&lt;$B$46+$B$47)*1</f>
        <v/>
      </c>
      <c r="BI94" s="14">
        <f>BH94*$B$48*T94</f>
        <v/>
      </c>
      <c r="BJ94" s="14">
        <f>BD94+BF94+BG94+BI94</f>
        <v/>
      </c>
      <c r="BK94" s="14">
        <f>SUMPRODUCT((1-($B$65:$B$68&gt;0)*(A94&gt;=$B$65:$B$68))*(1-(($C$65:$C$68&gt;0)*(A94&gt;=$C$65:$C$68)))*(properties!$L$3:$L$6-properties!$M$3:$M$6))*O94+SUMPRODUCT((1-($B$65:$B$68&gt;0)*(A94&gt;=$B$65:$B$68))*(($C$65:$C$68&gt;0)*(A94&gt;=$C$65:$C$68))*($D$65:$D$68-$E$65:$E$68))*O94</f>
        <v/>
      </c>
      <c r="BL94" s="14">
        <f>SUMPRODUCT((1-($B$65:$B$68&gt;0)*(A94&gt;=$B$65:$B$68))*properties!$N$3:$N$6*(A94&lt;=properties!$O$3:$O$6))</f>
        <v/>
      </c>
      <c r="BM94" s="14">
        <f>MAX(0,BK94-BL94)</f>
        <v/>
      </c>
      <c r="BN94" s="14">
        <f>SUMPRODUCT(($B$64:$B$68=A94)*$G$64:$G$68)</f>
        <v/>
      </c>
      <c r="BO94" s="14">
        <f>SUMPRODUCT(($B$64:$B$68=A94)*$H$64:$H$68)</f>
        <v/>
      </c>
      <c r="BP94" s="14">
        <f>SUMPRODUCT(($B$64:$B$68=A94)*$I$64:$I$68)</f>
        <v/>
      </c>
      <c r="BQ94" s="14">
        <f>AN94*properties!$C$2*(1+properties!$D$2)^(A94-household!$B$4+1)</f>
        <v/>
      </c>
      <c r="BR94" s="14">
        <f>SUMPRODUCT((1-($B$65:$B$68&gt;0)*(A94&gt;=$B$65:$B$68))*properties!$C$3:$C$6*(1+properties!$D$3:$D$6)^(A94-household!$B$4+1))</f>
        <v/>
      </c>
      <c r="BS94" s="14">
        <f>IF(A94&gt;=household!$B$6+$B$26,household!$B$11*12*$B$30*O94,0)</f>
        <v/>
      </c>
      <c r="BT94" s="14">
        <f>IF(A94&gt;=household!$B$9+$B$27,household!$B$12*12*$B$31*O94,0)</f>
        <v/>
      </c>
      <c r="BU94" s="14">
        <f>IF(A94&gt;=household!$B$6+$B$28,tax_tables!$B$19*12*P94*MIN(1,household!$B$13/40)*$B$32*(1+tax_tables!$B$20*(B94&gt;=75)),0)</f>
        <v/>
      </c>
      <c r="BV94" s="14">
        <f>IF(A94&gt;=household!$B$9+$B$29,tax_tables!$B$19*12*P94*MIN(1,household!$B$14/40)*$B$33*(1+tax_tables!$B$20*(C94&gt;=75)),0)</f>
        <v/>
      </c>
      <c r="BW94" s="14">
        <f>IF(AND($B$36&lt;&gt;0,A94&gt;=household!$B$6+$B$37),$B$36*(1+$B$17)^(MAX(household!$B$6+$B$37,household!$B$4-1)-household!$B$4+1)*(1+$B$40*$B$17)^(A94-MAX(household!$B$6+$B$37,household!$B$4-1)),0)</f>
        <v/>
      </c>
      <c r="BX94" s="14">
        <f>IF(AND($B$38&lt;&gt;0,A94&gt;=household!$B$9+$B$39),$B$38*(1+$B$17)^(MAX(household!$B$9+$B$39,household!$B$4-1)-household!$B$4+1)*(1+$B$40*$B$17)^(A94-MAX(household!$B$9+$B$39,household!$B$4-1)),0)</f>
        <v/>
      </c>
      <c r="BY94" s="14">
        <f>CZ93</f>
        <v/>
      </c>
      <c r="BZ94" s="14">
        <f>DA93</f>
        <v/>
      </c>
      <c r="CA94" s="14">
        <f>$B$19*BY94</f>
        <v/>
      </c>
      <c r="CB94" s="14">
        <f>DB93</f>
        <v/>
      </c>
      <c r="CC94" s="14">
        <f>DC93</f>
        <v/>
      </c>
      <c r="CD94" s="14">
        <f>IF(B94&gt;=tax_tables!$B$46,MAX(0,CB94)*INDEX(tax_tables!$N$5:$N$54,MATCH(MIN(B94-1,120),tax_tables!$M$5:$M$54,0)),0)</f>
        <v/>
      </c>
      <c r="CE94" s="14">
        <f>IF(C94&gt;=tax_tables!$B$46,MAX(0,CC94)*INDEX(tax_tables!$N$5:$N$54,MATCH(MIN(C94-1,120),tax_tables!$M$5:$M$54,0)),0)</f>
        <v/>
      </c>
      <c r="CF94" s="14">
        <f>DD93</f>
        <v/>
      </c>
      <c r="CG94" s="14">
        <f>IF(OR($B$52="",$B$53=""),0,IF(AND(A94&gt;=$B$52,A94&lt;=$B$53),$B$51*O94,0))</f>
        <v/>
      </c>
      <c r="CH94" s="14">
        <f>MAX(0,CB94*(1+M94)-CD94)</f>
        <v/>
      </c>
      <c r="CI94" s="14">
        <f>MAX(0,CC94*(1+M94)-CE94)</f>
        <v/>
      </c>
      <c r="CJ94" s="14">
        <f>MIN(CG94,CH94+CI94)</f>
        <v/>
      </c>
      <c r="CK94" s="14">
        <f>IF(CH94+CI94&gt;1,CJ94*CH94/(CH94+CI94),0)</f>
        <v/>
      </c>
      <c r="CL94" s="14">
        <f>CJ94-CK94</f>
        <v/>
      </c>
      <c r="CM94" s="14">
        <f>CM93-CW93+CU93+tax_tables!$B$32*P94*2</f>
        <v/>
      </c>
      <c r="CN94" s="14">
        <f>EC93-AI93</f>
        <v/>
      </c>
      <c r="CO94" s="14">
        <f>AJ94+F94+BW94+BX94+BK94+CA94+CD94+CE94+BN94+AK94+AL94+CJ94</f>
        <v/>
      </c>
      <c r="CP94" s="14">
        <f>D94+CN94-CO94</f>
        <v/>
      </c>
      <c r="CQ94" s="14">
        <f>MAX(0,MIN(CP94,BY94*(1+M94-$B$19)))</f>
        <v/>
      </c>
      <c r="CR94" s="14">
        <f>MAX(0,MIN(CP94-CQ94,(CH94-CK94)+(CI94-CL94)))</f>
        <v/>
      </c>
      <c r="CS94" s="14">
        <f>IF((CH94-CK94)+(CI94-CL94)&gt;1,CR94*(CH94-CK94)/((CH94-CK94)+(CI94-CL94)),0)</f>
        <v/>
      </c>
      <c r="CT94" s="14">
        <f>CR94-CS94</f>
        <v/>
      </c>
      <c r="CU94" s="14">
        <f>MAX(0,MIN(CP94-CQ94-CR94,CF94*(1+M94)))</f>
        <v/>
      </c>
      <c r="CV94" s="14">
        <f>MAX(0,-CP94)</f>
        <v/>
      </c>
      <c r="CW94" s="14">
        <f>MIN(CV94,MAX(0,CM94))</f>
        <v/>
      </c>
      <c r="CX94" s="22">
        <f>IF(BY94&gt;0,MAX(0,1-BZ94/BY94),0)</f>
        <v/>
      </c>
      <c r="CY94" s="14">
        <f>CQ94*CX94</f>
        <v/>
      </c>
      <c r="CZ94" s="14">
        <f>BY94*(1+M94-$B$19)-CQ94+(CV94-CW94)</f>
        <v/>
      </c>
      <c r="DA94" s="14">
        <f>BZ94-(CQ94-CY94)+(CV94-CW94)</f>
        <v/>
      </c>
      <c r="DB94" s="14">
        <f>CB94*(1+M94)-CD94-CS94-CK94+Z94+AB94</f>
        <v/>
      </c>
      <c r="DC94" s="14">
        <f>CC94*(1+M94)-CE94-CT94-CL94+AA94+AC94</f>
        <v/>
      </c>
      <c r="DD94" s="14">
        <f>CF94*(1+M94)-CU94+CW94</f>
        <v/>
      </c>
      <c r="DE94" s="14">
        <f>CD94+CK94+CS94</f>
        <v/>
      </c>
      <c r="DF94" s="14">
        <f>CA94*household!$B$15*$B$20*(1+tax_tables!$B$17)</f>
        <v/>
      </c>
      <c r="DG94" s="14">
        <f>X94+BS94+BU94+BW94+DE94+DF94+CA94*household!$B$15*(1-$B$20)+(CY94+BO94)*household!$B$15*tax_tables!$B$18+(BP94+BM94+AK94)*household!$B$15-Z94</f>
        <v/>
      </c>
      <c r="DH94" s="14">
        <f>CE94+CL94+CT94</f>
        <v/>
      </c>
      <c r="DI94" s="14">
        <f>CA94*(1-household!$B$15)*$B$20*(1+tax_tables!$B$17)</f>
        <v/>
      </c>
      <c r="DJ94" s="14">
        <f>Y94+BT94+BV94+BX94+DH94+DI94+CA94*(1-household!$B$15)*(1-$B$20)+(CY94+BO94)*(1-household!$B$15)*tax_tables!$B$18+(BP94+BM94+AK94)*(1-household!$B$15)-AA94</f>
        <v/>
      </c>
      <c r="DK94" s="14">
        <f>IF((DG94&gt;=DJ94),MIN(0.5*(BW94+IF(B94&gt;=65,DE94,0)),MAX(0,(DG94-DJ94)/2)),MIN(0.5*(BX94+IF(C94&gt;=65,DH94,0)),MAX(0,(DJ94-DG94)/2)))</f>
        <v/>
      </c>
      <c r="DL94" s="14">
        <f>DG94+IF((DG94&gt;=DJ94),-DK94,DK94)</f>
        <v/>
      </c>
      <c r="DM94" s="14">
        <f>BW94+IF(B94&gt;=65,DE94,0)+IF((DG94&gt;=DJ94),-DK94,DK94)</f>
        <v/>
      </c>
      <c r="DN94" s="14">
        <f>MIN(BU94,tax_tables!$B$22*MAX(0,DL94-tax_tables!$B$21*P94))</f>
        <v/>
      </c>
      <c r="DO94" s="14">
        <f>MAX(0,DL94-DN94)</f>
        <v/>
      </c>
      <c r="DP94" s="14">
        <f>DJ94+IF((DG94&gt;=DJ94),DK94,-DK94)</f>
        <v/>
      </c>
      <c r="DQ94" s="14">
        <f>BX94+IF(C94&gt;=65,DH94,0)+IF((DG94&gt;=DJ94),DK94,-DK94)</f>
        <v/>
      </c>
      <c r="DR94" s="14">
        <f>MIN(BV94,tax_tables!$B$22*MAX(0,DP94-tax_tables!$B$21*P94))</f>
        <v/>
      </c>
      <c r="DS94" s="14">
        <f>MAX(0,DP94-DR94)</f>
        <v/>
      </c>
      <c r="DT94" s="14">
        <f>BJ94-BD94</f>
        <v/>
      </c>
      <c r="DU94" s="14">
        <f>(tax_tables!$B$6-(tax_tables!$B$6-tax_tables!$B$7)*MIN(1,MAX(0,(DL94-tax_tables!$B$8*P94)/((tax_tables!$B$9-tax_tables!$B$8)*P94))))*P94+(B94&gt;=65)*MAX(0,tax_tables!$B$10*P94-tax_tables!$B$12*MAX(0,DL94-tax_tables!$B$11*P94))+MIN(tax_tables!$B$13,DM94)+MIN(tax_tables!$B$14*P94,X94)+AF94+(DL94&lt;=DP94)*MAX(0,DT94-MIN(0.03*DL94,tax_tables!$B$15*P94))</f>
        <v/>
      </c>
      <c r="DV94" s="14">
        <f>MAX(0,SUMPRODUCT((DO94&gt;tax_tables!$E$5:$E$16*P94)*(DO94-tax_tables!$E$5:$E$16*P94)*tax_tables!$G$5:$G$16)-tax_tables!$B$5*DU94-tax_tables!$B$16*DF94)</f>
        <v/>
      </c>
      <c r="DW94" s="14">
        <f>tax_tables!$B$35*Q94+(B94&gt;=65)*MAX(0,tax_tables!$B$36*Q94-tax_tables!$B$12*MAX(0,DL94-tax_tables!$B$37*Q94))+MIN(tax_tables!$B$38,DM94)+AF94+(DL94&lt;=DP94)*MAX(0,DT94-MIN(0.03*DL94,tax_tables!$B$39*Q94))</f>
        <v/>
      </c>
      <c r="DX94" s="14">
        <f>MAX(0,SUMPRODUCT((DO94&gt;tax_tables!$I$5:$I$16*Q94)*(DO94-tax_tables!$I$5:$I$16*Q94)*tax_tables!$K$5:$K$16)-tax_tables!$B$34*DW94-tax_tables!$B$40*DF94-MAX(0,tax_tables!$B$41*Q94-tax_tables!$B$43*MAX(0,DL94-tax_tables!$B$42*Q94)))</f>
        <v/>
      </c>
      <c r="DY94" s="14">
        <f>(tax_tables!$B$6-(tax_tables!$B$6-tax_tables!$B$7)*MIN(1,MAX(0,(DP94-tax_tables!$B$8*P94)/((tax_tables!$B$9-tax_tables!$B$8)*P94))))*P94+(C94&gt;=65)*MAX(0,tax_tables!$B$10*P94-tax_tables!$B$12*MAX(0,DP94-tax_tables!$B$11*P94))+MIN(tax_tables!$B$13,DQ94)+MIN(tax_tables!$B$14*P94,Y94)+AG94+(DL94&gt;DP94)*MAX(0,DT94-MIN(0.03*DP94,tax_tables!$B$15*P94))</f>
        <v/>
      </c>
      <c r="DZ94" s="14">
        <f>MAX(0,SUMPRODUCT((DS94&gt;tax_tables!$E$5:$E$16*P94)*(DS94-tax_tables!$E$5:$E$16*P94)*tax_tables!$G$5:$G$16)-tax_tables!$B$5*DY94-tax_tables!$B$16*DI94)</f>
        <v/>
      </c>
      <c r="EA94" s="14">
        <f>tax_tables!$B$35*Q94+(C94&gt;=65)*MAX(0,tax_tables!$B$36*Q94-tax_tables!$B$12*MAX(0,DP94-tax_tables!$B$37*Q94))+MIN(tax_tables!$B$38,DQ94)+AG94+(DL94&gt;DP94)*MAX(0,DT94-MIN(0.03*DP94,tax_tables!$B$39*Q94))</f>
        <v/>
      </c>
      <c r="EB94" s="14">
        <f>MAX(0,SUMPRODUCT((DS94&gt;tax_tables!$I$5:$I$16*Q94)*(DS94-tax_tables!$I$5:$I$16*Q94)*tax_tables!$K$5:$K$16)-tax_tables!$B$34*EA94-tax_tables!$B$40*DI94-MAX(0,tax_tables!$B$41*Q94-tax_tables!$B$43*MAX(0,DP94-tax_tables!$B$42*Q94)))</f>
        <v/>
      </c>
      <c r="EC94" s="14">
        <f>DV94+DZ94+DX94+EB94+DN94+DR94</f>
        <v/>
      </c>
      <c r="ED94" s="14">
        <f>CZ94+DB94+DC94+DD94</f>
        <v/>
      </c>
      <c r="EE94" s="14">
        <f>ED94+BQ94-AR94+BR94</f>
        <v/>
      </c>
    </row>
    <row r="95">
      <c r="A95" s="21">
        <f>A94+1</f>
        <v/>
      </c>
      <c r="B95" s="21">
        <f>A95-household!$B$6</f>
        <v/>
      </c>
      <c r="C95" s="21">
        <f>A95-household!$B$9</f>
        <v/>
      </c>
      <c r="D95" s="14">
        <f>AU95+AV95+AW95+AX95+BB95+BJ95+AM95</f>
        <v/>
      </c>
      <c r="E95" s="14">
        <f>CN95+AI95+AH95</f>
        <v/>
      </c>
      <c r="F95" s="14">
        <f>BS95+BT95+BU95+BV95</f>
        <v/>
      </c>
      <c r="G95" s="14">
        <f>CQ95+CR95+CU95+CD95+CE95+CA95-CV95+CJ95+CW95</f>
        <v/>
      </c>
      <c r="H95" s="22">
        <f>IF(BY95+CB95+CC95+CF95&lt;=0,"",G95/(BY95+CB95+CC95+CF95))</f>
        <v/>
      </c>
      <c r="I95" s="23">
        <f>ED95/O95</f>
        <v/>
      </c>
      <c r="J95" s="23">
        <f>EE95/O95</f>
        <v/>
      </c>
      <c r="K95" s="14">
        <f>MAX(0,CP95-CQ95-CR95-CU95)</f>
        <v/>
      </c>
      <c r="L95" s="10" t="n"/>
      <c r="M95" s="22">
        <f>IF(L95="",$B$18,L95)</f>
        <v/>
      </c>
      <c r="N95" s="13" t="n"/>
      <c r="O95" s="12">
        <f>(1+$B$17)^(A95-household!$B$4+1)</f>
        <v/>
      </c>
      <c r="P95" s="12">
        <f>(1+$B$17)^(A95-tax_tables!$B$4)</f>
        <v/>
      </c>
      <c r="Q95" s="12">
        <f>(1+$B$17)^(A95-tax_tables!$B$4-MAX(0,MIN(A95,tax_tables!$B$45)-tax_tables!$B$44+1))</f>
        <v/>
      </c>
      <c r="R95" s="12">
        <f>(1+$B$21)^(A95-household!$B$4+1)</f>
        <v/>
      </c>
      <c r="S95" s="12">
        <f>(1+$B$22)^(A95-household!$B$4+1)</f>
        <v/>
      </c>
      <c r="T95" s="12">
        <f>(1+$B$23)^(A95-household!$B$4+1)</f>
        <v/>
      </c>
      <c r="U95" s="21">
        <f>IF(A95&lt;$B$5,1,0)</f>
        <v/>
      </c>
      <c r="V95" s="21">
        <f>IF(A95&lt;$B$6,1,0)</f>
        <v/>
      </c>
      <c r="W95" s="21">
        <f>IF(U95+V95&gt;0,1,0)</f>
        <v/>
      </c>
      <c r="X95" s="14">
        <f>U95*$B$7*O95+SUMPRODUCT(($B$72:$B$77=A95)*($D$72:$D$77="Wages: person 1")*$C$72:$C$77)*O95</f>
        <v/>
      </c>
      <c r="Y95" s="14">
        <f>V95*$B$8*O95+SUMPRODUCT(($B$72:$B$77=A95)*($D$72:$D$77="Wages: person 2")*$C$72:$C$77)*O95</f>
        <v/>
      </c>
      <c r="Z95" s="14">
        <f>U95*$B$9*O95</f>
        <v/>
      </c>
      <c r="AA95" s="14">
        <f>V95*$B$10*O95</f>
        <v/>
      </c>
      <c r="AB95" s="14">
        <f>U95*$B$11*O95</f>
        <v/>
      </c>
      <c r="AC95" s="14">
        <f>V95*$B$12*O95</f>
        <v/>
      </c>
      <c r="AD95" s="14">
        <f>X95+Y95</f>
        <v/>
      </c>
      <c r="AE95" s="14">
        <f>AD95-Z95-AA95</f>
        <v/>
      </c>
      <c r="AF95" s="14">
        <f>tax_tables!$B$25*MAX(0,MIN(X95,tax_tables!$B$27*P95)-tax_tables!$B$26)+tax_tables!$B$28*MAX(0,MIN(X95,tax_tables!$B$29*P95)-tax_tables!$B$27*P95)+tax_tables!$B$30*MIN(X95,tax_tables!$B$31*P95)</f>
        <v/>
      </c>
      <c r="AG95" s="14">
        <f>tax_tables!$B$25*MAX(0,MIN(Y95,tax_tables!$B$27*P95)-tax_tables!$B$26)+tax_tables!$B$28*MAX(0,MIN(Y95,tax_tables!$B$29*P95)-tax_tables!$B$27*P95)+tax_tables!$B$30*MIN(Y95,tax_tables!$B$31*P95)</f>
        <v/>
      </c>
      <c r="AH95" s="14">
        <f>AF95+AG95</f>
        <v/>
      </c>
      <c r="AI95" s="14">
        <f>$B$13*AE95</f>
        <v/>
      </c>
      <c r="AJ95" s="14">
        <f>AD95-Z95-AA95-AH95-AI95</f>
        <v/>
      </c>
      <c r="AK95" s="14">
        <f>SUMPRODUCT(($B$72:$B$77=A95)*($D$72:$D$77="Other taxable income")*$C$72:$C$77)*O95</f>
        <v/>
      </c>
      <c r="AL95" s="14">
        <f>SUMPRODUCT(($B$72:$B$77=A95)*($D$72:$D$77="Tax-free money in")*$C$72:$C$77)*O95</f>
        <v/>
      </c>
      <c r="AM95" s="14">
        <f>SUMPRODUCT(($B$72:$B$77=A95)*($D$72:$D$77="Expense")*$C$72:$C$77)*O95</f>
        <v/>
      </c>
      <c r="AN95" s="21">
        <f>IF(OR($B$64="",A95&lt;$B$64),1,0)</f>
        <v/>
      </c>
      <c r="AO95" s="14">
        <f>AR94</f>
        <v/>
      </c>
      <c r="AP95" s="14">
        <f>AN95*AO95*properties!$J$2</f>
        <v/>
      </c>
      <c r="AQ95" s="14">
        <f>AN95*MIN(properties!$K$2,AO95+AP95)</f>
        <v/>
      </c>
      <c r="AR95" s="14">
        <f>AN95*(AO95+AP95-AQ95)</f>
        <v/>
      </c>
      <c r="AS95" s="14">
        <f>AN95*properties!$G$2*O95</f>
        <v/>
      </c>
      <c r="AT95" s="14">
        <f>(1-AN95)*$E$64*O95</f>
        <v/>
      </c>
      <c r="AU95" s="14">
        <f>AQ95+AS95+AT95</f>
        <v/>
      </c>
      <c r="AV95" s="14">
        <f>SUMIF(budget!$A$2:$A$300,"household",budget!$F$2:$F$300)*O95*IF(N95="",1,N95)</f>
        <v/>
      </c>
      <c r="AW95" s="14">
        <f>SUMPRODUCT((other_budget!$C$2:$C$30&lt;=A95)*(other_budget!$D$2:$D$30&gt;=A95)*other_budget!$B$2:$B$30)*O95</f>
        <v/>
      </c>
      <c r="AX95" s="14">
        <f>SUMPRODUCT((kids_budget!$D$2:$D$40&lt;=A95)*(kids_budget!$E$2:$E$40&gt;=A95)*(kids_budget!$G$2:$G$40&lt;&gt;"college_funds")*kids_budget!$C$2:$C$40*((kids_budget!$F$2:$F$40="college")*S95+(kids_budget!$F$2:$F$40&lt;&gt;"college")*O95))</f>
        <v/>
      </c>
      <c r="AY95" s="14">
        <f>SUMPRODUCT((kids_budget!$D$2:$D$40&lt;=A95)*(kids_budget!$E$2:$E$40&gt;=A95)*(kids_budget!$G$2:$G$40="college_funds")*kids_budget!$C$2:$C$40*((kids_budget!$F$2:$F$40="college")*S95+(kids_budget!$F$2:$F$40&lt;&gt;"college")*O95))</f>
        <v/>
      </c>
      <c r="AZ95" s="14">
        <f>BC94</f>
        <v/>
      </c>
      <c r="BA95" s="14">
        <f>MIN(AY95,AZ95*(1+M95))</f>
        <v/>
      </c>
      <c r="BB95" s="14">
        <f>AY95-BA95</f>
        <v/>
      </c>
      <c r="BC95" s="14">
        <f>AZ95*(1+M95)-BA95</f>
        <v/>
      </c>
      <c r="BD95" s="14">
        <f>W95*healthcare!$B$2*R95</f>
        <v/>
      </c>
      <c r="BE95" s="21">
        <f>(1-W95)*2</f>
        <v/>
      </c>
      <c r="BF95" s="14">
        <f>BE95*healthcare!$B$3*12*R95</f>
        <v/>
      </c>
      <c r="BG95" s="14">
        <f>BE95*healthcare!$B$4*R95</f>
        <v/>
      </c>
      <c r="BH95" s="21">
        <f>AND(B95&gt;=$B$44,B95&lt;$B$44+$B$45)*1+AND(C95&gt;=$B$46,C95&lt;$B$46+$B$47)*1</f>
        <v/>
      </c>
      <c r="BI95" s="14">
        <f>BH95*$B$48*T95</f>
        <v/>
      </c>
      <c r="BJ95" s="14">
        <f>BD95+BF95+BG95+BI95</f>
        <v/>
      </c>
      <c r="BK95" s="14">
        <f>SUMPRODUCT((1-($B$65:$B$68&gt;0)*(A95&gt;=$B$65:$B$68))*(1-(($C$65:$C$68&gt;0)*(A95&gt;=$C$65:$C$68)))*(properties!$L$3:$L$6-properties!$M$3:$M$6))*O95+SUMPRODUCT((1-($B$65:$B$68&gt;0)*(A95&gt;=$B$65:$B$68))*(($C$65:$C$68&gt;0)*(A95&gt;=$C$65:$C$68))*($D$65:$D$68-$E$65:$E$68))*O95</f>
        <v/>
      </c>
      <c r="BL95" s="14">
        <f>SUMPRODUCT((1-($B$65:$B$68&gt;0)*(A95&gt;=$B$65:$B$68))*properties!$N$3:$N$6*(A95&lt;=properties!$O$3:$O$6))</f>
        <v/>
      </c>
      <c r="BM95" s="14">
        <f>MAX(0,BK95-BL95)</f>
        <v/>
      </c>
      <c r="BN95" s="14">
        <f>SUMPRODUCT(($B$64:$B$68=A95)*$G$64:$G$68)</f>
        <v/>
      </c>
      <c r="BO95" s="14">
        <f>SUMPRODUCT(($B$64:$B$68=A95)*$H$64:$H$68)</f>
        <v/>
      </c>
      <c r="BP95" s="14">
        <f>SUMPRODUCT(($B$64:$B$68=A95)*$I$64:$I$68)</f>
        <v/>
      </c>
      <c r="BQ95" s="14">
        <f>AN95*properties!$C$2*(1+properties!$D$2)^(A95-household!$B$4+1)</f>
        <v/>
      </c>
      <c r="BR95" s="14">
        <f>SUMPRODUCT((1-($B$65:$B$68&gt;0)*(A95&gt;=$B$65:$B$68))*properties!$C$3:$C$6*(1+properties!$D$3:$D$6)^(A95-household!$B$4+1))</f>
        <v/>
      </c>
      <c r="BS95" s="14">
        <f>IF(A95&gt;=household!$B$6+$B$26,household!$B$11*12*$B$30*O95,0)</f>
        <v/>
      </c>
      <c r="BT95" s="14">
        <f>IF(A95&gt;=household!$B$9+$B$27,household!$B$12*12*$B$31*O95,0)</f>
        <v/>
      </c>
      <c r="BU95" s="14">
        <f>IF(A95&gt;=household!$B$6+$B$28,tax_tables!$B$19*12*P95*MIN(1,household!$B$13/40)*$B$32*(1+tax_tables!$B$20*(B95&gt;=75)),0)</f>
        <v/>
      </c>
      <c r="BV95" s="14">
        <f>IF(A95&gt;=household!$B$9+$B$29,tax_tables!$B$19*12*P95*MIN(1,household!$B$14/40)*$B$33*(1+tax_tables!$B$20*(C95&gt;=75)),0)</f>
        <v/>
      </c>
      <c r="BW95" s="14">
        <f>IF(AND($B$36&lt;&gt;0,A95&gt;=household!$B$6+$B$37),$B$36*(1+$B$17)^(MAX(household!$B$6+$B$37,household!$B$4-1)-household!$B$4+1)*(1+$B$40*$B$17)^(A95-MAX(household!$B$6+$B$37,household!$B$4-1)),0)</f>
        <v/>
      </c>
      <c r="BX95" s="14">
        <f>IF(AND($B$38&lt;&gt;0,A95&gt;=household!$B$9+$B$39),$B$38*(1+$B$17)^(MAX(household!$B$9+$B$39,household!$B$4-1)-household!$B$4+1)*(1+$B$40*$B$17)^(A95-MAX(household!$B$9+$B$39,household!$B$4-1)),0)</f>
        <v/>
      </c>
      <c r="BY95" s="14">
        <f>CZ94</f>
        <v/>
      </c>
      <c r="BZ95" s="14">
        <f>DA94</f>
        <v/>
      </c>
      <c r="CA95" s="14">
        <f>$B$19*BY95</f>
        <v/>
      </c>
      <c r="CB95" s="14">
        <f>DB94</f>
        <v/>
      </c>
      <c r="CC95" s="14">
        <f>DC94</f>
        <v/>
      </c>
      <c r="CD95" s="14">
        <f>IF(B95&gt;=tax_tables!$B$46,MAX(0,CB95)*INDEX(tax_tables!$N$5:$N$54,MATCH(MIN(B95-1,120),tax_tables!$M$5:$M$54,0)),0)</f>
        <v/>
      </c>
      <c r="CE95" s="14">
        <f>IF(C95&gt;=tax_tables!$B$46,MAX(0,CC95)*INDEX(tax_tables!$N$5:$N$54,MATCH(MIN(C95-1,120),tax_tables!$M$5:$M$54,0)),0)</f>
        <v/>
      </c>
      <c r="CF95" s="14">
        <f>DD94</f>
        <v/>
      </c>
      <c r="CG95" s="14">
        <f>IF(OR($B$52="",$B$53=""),0,IF(AND(A95&gt;=$B$52,A95&lt;=$B$53),$B$51*O95,0))</f>
        <v/>
      </c>
      <c r="CH95" s="14">
        <f>MAX(0,CB95*(1+M95)-CD95)</f>
        <v/>
      </c>
      <c r="CI95" s="14">
        <f>MAX(0,CC95*(1+M95)-CE95)</f>
        <v/>
      </c>
      <c r="CJ95" s="14">
        <f>MIN(CG95,CH95+CI95)</f>
        <v/>
      </c>
      <c r="CK95" s="14">
        <f>IF(CH95+CI95&gt;1,CJ95*CH95/(CH95+CI95),0)</f>
        <v/>
      </c>
      <c r="CL95" s="14">
        <f>CJ95-CK95</f>
        <v/>
      </c>
      <c r="CM95" s="14">
        <f>CM94-CW94+CU94+tax_tables!$B$32*P95*2</f>
        <v/>
      </c>
      <c r="CN95" s="14">
        <f>EC94-AI94</f>
        <v/>
      </c>
      <c r="CO95" s="14">
        <f>AJ95+F95+BW95+BX95+BK95+CA95+CD95+CE95+BN95+AK95+AL95+CJ95</f>
        <v/>
      </c>
      <c r="CP95" s="14">
        <f>D95+CN95-CO95</f>
        <v/>
      </c>
      <c r="CQ95" s="14">
        <f>MAX(0,MIN(CP95,BY95*(1+M95-$B$19)))</f>
        <v/>
      </c>
      <c r="CR95" s="14">
        <f>MAX(0,MIN(CP95-CQ95,(CH95-CK95)+(CI95-CL95)))</f>
        <v/>
      </c>
      <c r="CS95" s="14">
        <f>IF((CH95-CK95)+(CI95-CL95)&gt;1,CR95*(CH95-CK95)/((CH95-CK95)+(CI95-CL95)),0)</f>
        <v/>
      </c>
      <c r="CT95" s="14">
        <f>CR95-CS95</f>
        <v/>
      </c>
      <c r="CU95" s="14">
        <f>MAX(0,MIN(CP95-CQ95-CR95,CF95*(1+M95)))</f>
        <v/>
      </c>
      <c r="CV95" s="14">
        <f>MAX(0,-CP95)</f>
        <v/>
      </c>
      <c r="CW95" s="14">
        <f>MIN(CV95,MAX(0,CM95))</f>
        <v/>
      </c>
      <c r="CX95" s="22">
        <f>IF(BY95&gt;0,MAX(0,1-BZ95/BY95),0)</f>
        <v/>
      </c>
      <c r="CY95" s="14">
        <f>CQ95*CX95</f>
        <v/>
      </c>
      <c r="CZ95" s="14">
        <f>BY95*(1+M95-$B$19)-CQ95+(CV95-CW95)</f>
        <v/>
      </c>
      <c r="DA95" s="14">
        <f>BZ95-(CQ95-CY95)+(CV95-CW95)</f>
        <v/>
      </c>
      <c r="DB95" s="14">
        <f>CB95*(1+M95)-CD95-CS95-CK95+Z95+AB95</f>
        <v/>
      </c>
      <c r="DC95" s="14">
        <f>CC95*(1+M95)-CE95-CT95-CL95+AA95+AC95</f>
        <v/>
      </c>
      <c r="DD95" s="14">
        <f>CF95*(1+M95)-CU95+CW95</f>
        <v/>
      </c>
      <c r="DE95" s="14">
        <f>CD95+CK95+CS95</f>
        <v/>
      </c>
      <c r="DF95" s="14">
        <f>CA95*household!$B$15*$B$20*(1+tax_tables!$B$17)</f>
        <v/>
      </c>
      <c r="DG95" s="14">
        <f>X95+BS95+BU95+BW95+DE95+DF95+CA95*household!$B$15*(1-$B$20)+(CY95+BO95)*household!$B$15*tax_tables!$B$18+(BP95+BM95+AK95)*household!$B$15-Z95</f>
        <v/>
      </c>
      <c r="DH95" s="14">
        <f>CE95+CL95+CT95</f>
        <v/>
      </c>
      <c r="DI95" s="14">
        <f>CA95*(1-household!$B$15)*$B$20*(1+tax_tables!$B$17)</f>
        <v/>
      </c>
      <c r="DJ95" s="14">
        <f>Y95+BT95+BV95+BX95+DH95+DI95+CA95*(1-household!$B$15)*(1-$B$20)+(CY95+BO95)*(1-household!$B$15)*tax_tables!$B$18+(BP95+BM95+AK95)*(1-household!$B$15)-AA95</f>
        <v/>
      </c>
      <c r="DK95" s="14">
        <f>IF((DG95&gt;=DJ95),MIN(0.5*(BW95+IF(B95&gt;=65,DE95,0)),MAX(0,(DG95-DJ95)/2)),MIN(0.5*(BX95+IF(C95&gt;=65,DH95,0)),MAX(0,(DJ95-DG95)/2)))</f>
        <v/>
      </c>
      <c r="DL95" s="14">
        <f>DG95+IF((DG95&gt;=DJ95),-DK95,DK95)</f>
        <v/>
      </c>
      <c r="DM95" s="14">
        <f>BW95+IF(B95&gt;=65,DE95,0)+IF((DG95&gt;=DJ95),-DK95,DK95)</f>
        <v/>
      </c>
      <c r="DN95" s="14">
        <f>MIN(BU95,tax_tables!$B$22*MAX(0,DL95-tax_tables!$B$21*P95))</f>
        <v/>
      </c>
      <c r="DO95" s="14">
        <f>MAX(0,DL95-DN95)</f>
        <v/>
      </c>
      <c r="DP95" s="14">
        <f>DJ95+IF((DG95&gt;=DJ95),DK95,-DK95)</f>
        <v/>
      </c>
      <c r="DQ95" s="14">
        <f>BX95+IF(C95&gt;=65,DH95,0)+IF((DG95&gt;=DJ95),DK95,-DK95)</f>
        <v/>
      </c>
      <c r="DR95" s="14">
        <f>MIN(BV95,tax_tables!$B$22*MAX(0,DP95-tax_tables!$B$21*P95))</f>
        <v/>
      </c>
      <c r="DS95" s="14">
        <f>MAX(0,DP95-DR95)</f>
        <v/>
      </c>
      <c r="DT95" s="14">
        <f>BJ95-BD95</f>
        <v/>
      </c>
      <c r="DU95" s="14">
        <f>(tax_tables!$B$6-(tax_tables!$B$6-tax_tables!$B$7)*MIN(1,MAX(0,(DL95-tax_tables!$B$8*P95)/((tax_tables!$B$9-tax_tables!$B$8)*P95))))*P95+(B95&gt;=65)*MAX(0,tax_tables!$B$10*P95-tax_tables!$B$12*MAX(0,DL95-tax_tables!$B$11*P95))+MIN(tax_tables!$B$13,DM95)+MIN(tax_tables!$B$14*P95,X95)+AF95+(DL95&lt;=DP95)*MAX(0,DT95-MIN(0.03*DL95,tax_tables!$B$15*P95))</f>
        <v/>
      </c>
      <c r="DV95" s="14">
        <f>MAX(0,SUMPRODUCT((DO95&gt;tax_tables!$E$5:$E$16*P95)*(DO95-tax_tables!$E$5:$E$16*P95)*tax_tables!$G$5:$G$16)-tax_tables!$B$5*DU95-tax_tables!$B$16*DF95)</f>
        <v/>
      </c>
      <c r="DW95" s="14">
        <f>tax_tables!$B$35*Q95+(B95&gt;=65)*MAX(0,tax_tables!$B$36*Q95-tax_tables!$B$12*MAX(0,DL95-tax_tables!$B$37*Q95))+MIN(tax_tables!$B$38,DM95)+AF95+(DL95&lt;=DP95)*MAX(0,DT95-MIN(0.03*DL95,tax_tables!$B$39*Q95))</f>
        <v/>
      </c>
      <c r="DX95" s="14">
        <f>MAX(0,SUMPRODUCT((DO95&gt;tax_tables!$I$5:$I$16*Q95)*(DO95-tax_tables!$I$5:$I$16*Q95)*tax_tables!$K$5:$K$16)-tax_tables!$B$34*DW95-tax_tables!$B$40*DF95-MAX(0,tax_tables!$B$41*Q95-tax_tables!$B$43*MAX(0,DL95-tax_tables!$B$42*Q95)))</f>
        <v/>
      </c>
      <c r="DY95" s="14">
        <f>(tax_tables!$B$6-(tax_tables!$B$6-tax_tables!$B$7)*MIN(1,MAX(0,(DP95-tax_tables!$B$8*P95)/((tax_tables!$B$9-tax_tables!$B$8)*P95))))*P95+(C95&gt;=65)*MAX(0,tax_tables!$B$10*P95-tax_tables!$B$12*MAX(0,DP95-tax_tables!$B$11*P95))+MIN(tax_tables!$B$13,DQ95)+MIN(tax_tables!$B$14*P95,Y95)+AG95+(DL95&gt;DP95)*MAX(0,DT95-MIN(0.03*DP95,tax_tables!$B$15*P95))</f>
        <v/>
      </c>
      <c r="DZ95" s="14">
        <f>MAX(0,SUMPRODUCT((DS95&gt;tax_tables!$E$5:$E$16*P95)*(DS95-tax_tables!$E$5:$E$16*P95)*tax_tables!$G$5:$G$16)-tax_tables!$B$5*DY95-tax_tables!$B$16*DI95)</f>
        <v/>
      </c>
      <c r="EA95" s="14">
        <f>tax_tables!$B$35*Q95+(C95&gt;=65)*MAX(0,tax_tables!$B$36*Q95-tax_tables!$B$12*MAX(0,DP95-tax_tables!$B$37*Q95))+MIN(tax_tables!$B$38,DQ95)+AG95+(DL95&gt;DP95)*MAX(0,DT95-MIN(0.03*DP95,tax_tables!$B$39*Q95))</f>
        <v/>
      </c>
      <c r="EB95" s="14">
        <f>MAX(0,SUMPRODUCT((DS95&gt;tax_tables!$I$5:$I$16*Q95)*(DS95-tax_tables!$I$5:$I$16*Q95)*tax_tables!$K$5:$K$16)-tax_tables!$B$34*EA95-tax_tables!$B$40*DI95-MAX(0,tax_tables!$B$41*Q95-tax_tables!$B$43*MAX(0,DP95-tax_tables!$B$42*Q95)))</f>
        <v/>
      </c>
      <c r="EC95" s="14">
        <f>DV95+DZ95+DX95+EB95+DN95+DR95</f>
        <v/>
      </c>
      <c r="ED95" s="14">
        <f>CZ95+DB95+DC95+DD95</f>
        <v/>
      </c>
      <c r="EE95" s="14">
        <f>ED95+BQ95-AR95+BR95</f>
        <v/>
      </c>
    </row>
    <row r="96">
      <c r="A96" s="21">
        <f>A95+1</f>
        <v/>
      </c>
      <c r="B96" s="21">
        <f>A96-household!$B$6</f>
        <v/>
      </c>
      <c r="C96" s="21">
        <f>A96-household!$B$9</f>
        <v/>
      </c>
      <c r="D96" s="14">
        <f>AU96+AV96+AW96+AX96+BB96+BJ96+AM96</f>
        <v/>
      </c>
      <c r="E96" s="14">
        <f>CN96+AI96+AH96</f>
        <v/>
      </c>
      <c r="F96" s="14">
        <f>BS96+BT96+BU96+BV96</f>
        <v/>
      </c>
      <c r="G96" s="14">
        <f>CQ96+CR96+CU96+CD96+CE96+CA96-CV96+CJ96+CW96</f>
        <v/>
      </c>
      <c r="H96" s="22">
        <f>IF(BY96+CB96+CC96+CF96&lt;=0,"",G96/(BY96+CB96+CC96+CF96))</f>
        <v/>
      </c>
      <c r="I96" s="23">
        <f>ED96/O96</f>
        <v/>
      </c>
      <c r="J96" s="23">
        <f>EE96/O96</f>
        <v/>
      </c>
      <c r="K96" s="14">
        <f>MAX(0,CP96-CQ96-CR96-CU96)</f>
        <v/>
      </c>
      <c r="L96" s="10" t="n"/>
      <c r="M96" s="22">
        <f>IF(L96="",$B$18,L96)</f>
        <v/>
      </c>
      <c r="N96" s="13" t="n"/>
      <c r="O96" s="12">
        <f>(1+$B$17)^(A96-household!$B$4+1)</f>
        <v/>
      </c>
      <c r="P96" s="12">
        <f>(1+$B$17)^(A96-tax_tables!$B$4)</f>
        <v/>
      </c>
      <c r="Q96" s="12">
        <f>(1+$B$17)^(A96-tax_tables!$B$4-MAX(0,MIN(A96,tax_tables!$B$45)-tax_tables!$B$44+1))</f>
        <v/>
      </c>
      <c r="R96" s="12">
        <f>(1+$B$21)^(A96-household!$B$4+1)</f>
        <v/>
      </c>
      <c r="S96" s="12">
        <f>(1+$B$22)^(A96-household!$B$4+1)</f>
        <v/>
      </c>
      <c r="T96" s="12">
        <f>(1+$B$23)^(A96-household!$B$4+1)</f>
        <v/>
      </c>
      <c r="U96" s="21">
        <f>IF(A96&lt;$B$5,1,0)</f>
        <v/>
      </c>
      <c r="V96" s="21">
        <f>IF(A96&lt;$B$6,1,0)</f>
        <v/>
      </c>
      <c r="W96" s="21">
        <f>IF(U96+V96&gt;0,1,0)</f>
        <v/>
      </c>
      <c r="X96" s="14">
        <f>U96*$B$7*O96+SUMPRODUCT(($B$72:$B$77=A96)*($D$72:$D$77="Wages: person 1")*$C$72:$C$77)*O96</f>
        <v/>
      </c>
      <c r="Y96" s="14">
        <f>V96*$B$8*O96+SUMPRODUCT(($B$72:$B$77=A96)*($D$72:$D$77="Wages: person 2")*$C$72:$C$77)*O96</f>
        <v/>
      </c>
      <c r="Z96" s="14">
        <f>U96*$B$9*O96</f>
        <v/>
      </c>
      <c r="AA96" s="14">
        <f>V96*$B$10*O96</f>
        <v/>
      </c>
      <c r="AB96" s="14">
        <f>U96*$B$11*O96</f>
        <v/>
      </c>
      <c r="AC96" s="14">
        <f>V96*$B$12*O96</f>
        <v/>
      </c>
      <c r="AD96" s="14">
        <f>X96+Y96</f>
        <v/>
      </c>
      <c r="AE96" s="14">
        <f>AD96-Z96-AA96</f>
        <v/>
      </c>
      <c r="AF96" s="14">
        <f>tax_tables!$B$25*MAX(0,MIN(X96,tax_tables!$B$27*P96)-tax_tables!$B$26)+tax_tables!$B$28*MAX(0,MIN(X96,tax_tables!$B$29*P96)-tax_tables!$B$27*P96)+tax_tables!$B$30*MIN(X96,tax_tables!$B$31*P96)</f>
        <v/>
      </c>
      <c r="AG96" s="14">
        <f>tax_tables!$B$25*MAX(0,MIN(Y96,tax_tables!$B$27*P96)-tax_tables!$B$26)+tax_tables!$B$28*MAX(0,MIN(Y96,tax_tables!$B$29*P96)-tax_tables!$B$27*P96)+tax_tables!$B$30*MIN(Y96,tax_tables!$B$31*P96)</f>
        <v/>
      </c>
      <c r="AH96" s="14">
        <f>AF96+AG96</f>
        <v/>
      </c>
      <c r="AI96" s="14">
        <f>$B$13*AE96</f>
        <v/>
      </c>
      <c r="AJ96" s="14">
        <f>AD96-Z96-AA96-AH96-AI96</f>
        <v/>
      </c>
      <c r="AK96" s="14">
        <f>SUMPRODUCT(($B$72:$B$77=A96)*($D$72:$D$77="Other taxable income")*$C$72:$C$77)*O96</f>
        <v/>
      </c>
      <c r="AL96" s="14">
        <f>SUMPRODUCT(($B$72:$B$77=A96)*($D$72:$D$77="Tax-free money in")*$C$72:$C$77)*O96</f>
        <v/>
      </c>
      <c r="AM96" s="14">
        <f>SUMPRODUCT(($B$72:$B$77=A96)*($D$72:$D$77="Expense")*$C$72:$C$77)*O96</f>
        <v/>
      </c>
      <c r="AN96" s="21">
        <f>IF(OR($B$64="",A96&lt;$B$64),1,0)</f>
        <v/>
      </c>
      <c r="AO96" s="14">
        <f>AR95</f>
        <v/>
      </c>
      <c r="AP96" s="14">
        <f>AN96*AO96*properties!$J$2</f>
        <v/>
      </c>
      <c r="AQ96" s="14">
        <f>AN96*MIN(properties!$K$2,AO96+AP96)</f>
        <v/>
      </c>
      <c r="AR96" s="14">
        <f>AN96*(AO96+AP96-AQ96)</f>
        <v/>
      </c>
      <c r="AS96" s="14">
        <f>AN96*properties!$G$2*O96</f>
        <v/>
      </c>
      <c r="AT96" s="14">
        <f>(1-AN96)*$E$64*O96</f>
        <v/>
      </c>
      <c r="AU96" s="14">
        <f>AQ96+AS96+AT96</f>
        <v/>
      </c>
      <c r="AV96" s="14">
        <f>SUMIF(budget!$A$2:$A$300,"household",budget!$F$2:$F$300)*O96*IF(N96="",1,N96)</f>
        <v/>
      </c>
      <c r="AW96" s="14">
        <f>SUMPRODUCT((other_budget!$C$2:$C$30&lt;=A96)*(other_budget!$D$2:$D$30&gt;=A96)*other_budget!$B$2:$B$30)*O96</f>
        <v/>
      </c>
      <c r="AX96" s="14">
        <f>SUMPRODUCT((kids_budget!$D$2:$D$40&lt;=A96)*(kids_budget!$E$2:$E$40&gt;=A96)*(kids_budget!$G$2:$G$40&lt;&gt;"college_funds")*kids_budget!$C$2:$C$40*((kids_budget!$F$2:$F$40="college")*S96+(kids_budget!$F$2:$F$40&lt;&gt;"college")*O96))</f>
        <v/>
      </c>
      <c r="AY96" s="14">
        <f>SUMPRODUCT((kids_budget!$D$2:$D$40&lt;=A96)*(kids_budget!$E$2:$E$40&gt;=A96)*(kids_budget!$G$2:$G$40="college_funds")*kids_budget!$C$2:$C$40*((kids_budget!$F$2:$F$40="college")*S96+(kids_budget!$F$2:$F$40&lt;&gt;"college")*O96))</f>
        <v/>
      </c>
      <c r="AZ96" s="14">
        <f>BC95</f>
        <v/>
      </c>
      <c r="BA96" s="14">
        <f>MIN(AY96,AZ96*(1+M96))</f>
        <v/>
      </c>
      <c r="BB96" s="14">
        <f>AY96-BA96</f>
        <v/>
      </c>
      <c r="BC96" s="14">
        <f>AZ96*(1+M96)-BA96</f>
        <v/>
      </c>
      <c r="BD96" s="14">
        <f>W96*healthcare!$B$2*R96</f>
        <v/>
      </c>
      <c r="BE96" s="21">
        <f>(1-W96)*2</f>
        <v/>
      </c>
      <c r="BF96" s="14">
        <f>BE96*healthcare!$B$3*12*R96</f>
        <v/>
      </c>
      <c r="BG96" s="14">
        <f>BE96*healthcare!$B$4*R96</f>
        <v/>
      </c>
      <c r="BH96" s="21">
        <f>AND(B96&gt;=$B$44,B96&lt;$B$44+$B$45)*1+AND(C96&gt;=$B$46,C96&lt;$B$46+$B$47)*1</f>
        <v/>
      </c>
      <c r="BI96" s="14">
        <f>BH96*$B$48*T96</f>
        <v/>
      </c>
      <c r="BJ96" s="14">
        <f>BD96+BF96+BG96+BI96</f>
        <v/>
      </c>
      <c r="BK96" s="14">
        <f>SUMPRODUCT((1-($B$65:$B$68&gt;0)*(A96&gt;=$B$65:$B$68))*(1-(($C$65:$C$68&gt;0)*(A96&gt;=$C$65:$C$68)))*(properties!$L$3:$L$6-properties!$M$3:$M$6))*O96+SUMPRODUCT((1-($B$65:$B$68&gt;0)*(A96&gt;=$B$65:$B$68))*(($C$65:$C$68&gt;0)*(A96&gt;=$C$65:$C$68))*($D$65:$D$68-$E$65:$E$68))*O96</f>
        <v/>
      </c>
      <c r="BL96" s="14">
        <f>SUMPRODUCT((1-($B$65:$B$68&gt;0)*(A96&gt;=$B$65:$B$68))*properties!$N$3:$N$6*(A96&lt;=properties!$O$3:$O$6))</f>
        <v/>
      </c>
      <c r="BM96" s="14">
        <f>MAX(0,BK96-BL96)</f>
        <v/>
      </c>
      <c r="BN96" s="14">
        <f>SUMPRODUCT(($B$64:$B$68=A96)*$G$64:$G$68)</f>
        <v/>
      </c>
      <c r="BO96" s="14">
        <f>SUMPRODUCT(($B$64:$B$68=A96)*$H$64:$H$68)</f>
        <v/>
      </c>
      <c r="BP96" s="14">
        <f>SUMPRODUCT(($B$64:$B$68=A96)*$I$64:$I$68)</f>
        <v/>
      </c>
      <c r="BQ96" s="14">
        <f>AN96*properties!$C$2*(1+properties!$D$2)^(A96-household!$B$4+1)</f>
        <v/>
      </c>
      <c r="BR96" s="14">
        <f>SUMPRODUCT((1-($B$65:$B$68&gt;0)*(A96&gt;=$B$65:$B$68))*properties!$C$3:$C$6*(1+properties!$D$3:$D$6)^(A96-household!$B$4+1))</f>
        <v/>
      </c>
      <c r="BS96" s="14">
        <f>IF(A96&gt;=household!$B$6+$B$26,household!$B$11*12*$B$30*O96,0)</f>
        <v/>
      </c>
      <c r="BT96" s="14">
        <f>IF(A96&gt;=household!$B$9+$B$27,household!$B$12*12*$B$31*O96,0)</f>
        <v/>
      </c>
      <c r="BU96" s="14">
        <f>IF(A96&gt;=household!$B$6+$B$28,tax_tables!$B$19*12*P96*MIN(1,household!$B$13/40)*$B$32*(1+tax_tables!$B$20*(B96&gt;=75)),0)</f>
        <v/>
      </c>
      <c r="BV96" s="14">
        <f>IF(A96&gt;=household!$B$9+$B$29,tax_tables!$B$19*12*P96*MIN(1,household!$B$14/40)*$B$33*(1+tax_tables!$B$20*(C96&gt;=75)),0)</f>
        <v/>
      </c>
      <c r="BW96" s="14">
        <f>IF(AND($B$36&lt;&gt;0,A96&gt;=household!$B$6+$B$37),$B$36*(1+$B$17)^(MAX(household!$B$6+$B$37,household!$B$4-1)-household!$B$4+1)*(1+$B$40*$B$17)^(A96-MAX(household!$B$6+$B$37,household!$B$4-1)),0)</f>
        <v/>
      </c>
      <c r="BX96" s="14">
        <f>IF(AND($B$38&lt;&gt;0,A96&gt;=household!$B$9+$B$39),$B$38*(1+$B$17)^(MAX(household!$B$9+$B$39,household!$B$4-1)-household!$B$4+1)*(1+$B$40*$B$17)^(A96-MAX(household!$B$9+$B$39,household!$B$4-1)),0)</f>
        <v/>
      </c>
      <c r="BY96" s="14">
        <f>CZ95</f>
        <v/>
      </c>
      <c r="BZ96" s="14">
        <f>DA95</f>
        <v/>
      </c>
      <c r="CA96" s="14">
        <f>$B$19*BY96</f>
        <v/>
      </c>
      <c r="CB96" s="14">
        <f>DB95</f>
        <v/>
      </c>
      <c r="CC96" s="14">
        <f>DC95</f>
        <v/>
      </c>
      <c r="CD96" s="14">
        <f>IF(B96&gt;=tax_tables!$B$46,MAX(0,CB96)*INDEX(tax_tables!$N$5:$N$54,MATCH(MIN(B96-1,120),tax_tables!$M$5:$M$54,0)),0)</f>
        <v/>
      </c>
      <c r="CE96" s="14">
        <f>IF(C96&gt;=tax_tables!$B$46,MAX(0,CC96)*INDEX(tax_tables!$N$5:$N$54,MATCH(MIN(C96-1,120),tax_tables!$M$5:$M$54,0)),0)</f>
        <v/>
      </c>
      <c r="CF96" s="14">
        <f>DD95</f>
        <v/>
      </c>
      <c r="CG96" s="14">
        <f>IF(OR($B$52="",$B$53=""),0,IF(AND(A96&gt;=$B$52,A96&lt;=$B$53),$B$51*O96,0))</f>
        <v/>
      </c>
      <c r="CH96" s="14">
        <f>MAX(0,CB96*(1+M96)-CD96)</f>
        <v/>
      </c>
      <c r="CI96" s="14">
        <f>MAX(0,CC96*(1+M96)-CE96)</f>
        <v/>
      </c>
      <c r="CJ96" s="14">
        <f>MIN(CG96,CH96+CI96)</f>
        <v/>
      </c>
      <c r="CK96" s="14">
        <f>IF(CH96+CI96&gt;1,CJ96*CH96/(CH96+CI96),0)</f>
        <v/>
      </c>
      <c r="CL96" s="14">
        <f>CJ96-CK96</f>
        <v/>
      </c>
      <c r="CM96" s="14">
        <f>CM95-CW95+CU95+tax_tables!$B$32*P96*2</f>
        <v/>
      </c>
      <c r="CN96" s="14">
        <f>EC95-AI95</f>
        <v/>
      </c>
      <c r="CO96" s="14">
        <f>AJ96+F96+BW96+BX96+BK96+CA96+CD96+CE96+BN96+AK96+AL96+CJ96</f>
        <v/>
      </c>
      <c r="CP96" s="14">
        <f>D96+CN96-CO96</f>
        <v/>
      </c>
      <c r="CQ96" s="14">
        <f>MAX(0,MIN(CP96,BY96*(1+M96-$B$19)))</f>
        <v/>
      </c>
      <c r="CR96" s="14">
        <f>MAX(0,MIN(CP96-CQ96,(CH96-CK96)+(CI96-CL96)))</f>
        <v/>
      </c>
      <c r="CS96" s="14">
        <f>IF((CH96-CK96)+(CI96-CL96)&gt;1,CR96*(CH96-CK96)/((CH96-CK96)+(CI96-CL96)),0)</f>
        <v/>
      </c>
      <c r="CT96" s="14">
        <f>CR96-CS96</f>
        <v/>
      </c>
      <c r="CU96" s="14">
        <f>MAX(0,MIN(CP96-CQ96-CR96,CF96*(1+M96)))</f>
        <v/>
      </c>
      <c r="CV96" s="14">
        <f>MAX(0,-CP96)</f>
        <v/>
      </c>
      <c r="CW96" s="14">
        <f>MIN(CV96,MAX(0,CM96))</f>
        <v/>
      </c>
      <c r="CX96" s="22">
        <f>IF(BY96&gt;0,MAX(0,1-BZ96/BY96),0)</f>
        <v/>
      </c>
      <c r="CY96" s="14">
        <f>CQ96*CX96</f>
        <v/>
      </c>
      <c r="CZ96" s="14">
        <f>BY96*(1+M96-$B$19)-CQ96+(CV96-CW96)</f>
        <v/>
      </c>
      <c r="DA96" s="14">
        <f>BZ96-(CQ96-CY96)+(CV96-CW96)</f>
        <v/>
      </c>
      <c r="DB96" s="14">
        <f>CB96*(1+M96)-CD96-CS96-CK96+Z96+AB96</f>
        <v/>
      </c>
      <c r="DC96" s="14">
        <f>CC96*(1+M96)-CE96-CT96-CL96+AA96+AC96</f>
        <v/>
      </c>
      <c r="DD96" s="14">
        <f>CF96*(1+M96)-CU96+CW96</f>
        <v/>
      </c>
      <c r="DE96" s="14">
        <f>CD96+CK96+CS96</f>
        <v/>
      </c>
      <c r="DF96" s="14">
        <f>CA96*household!$B$15*$B$20*(1+tax_tables!$B$17)</f>
        <v/>
      </c>
      <c r="DG96" s="14">
        <f>X96+BS96+BU96+BW96+DE96+DF96+CA96*household!$B$15*(1-$B$20)+(CY96+BO96)*household!$B$15*tax_tables!$B$18+(BP96+BM96+AK96)*household!$B$15-Z96</f>
        <v/>
      </c>
      <c r="DH96" s="14">
        <f>CE96+CL96+CT96</f>
        <v/>
      </c>
      <c r="DI96" s="14">
        <f>CA96*(1-household!$B$15)*$B$20*(1+tax_tables!$B$17)</f>
        <v/>
      </c>
      <c r="DJ96" s="14">
        <f>Y96+BT96+BV96+BX96+DH96+DI96+CA96*(1-household!$B$15)*(1-$B$20)+(CY96+BO96)*(1-household!$B$15)*tax_tables!$B$18+(BP96+BM96+AK96)*(1-household!$B$15)-AA96</f>
        <v/>
      </c>
      <c r="DK96" s="14">
        <f>IF((DG96&gt;=DJ96),MIN(0.5*(BW96+IF(B96&gt;=65,DE96,0)),MAX(0,(DG96-DJ96)/2)),MIN(0.5*(BX96+IF(C96&gt;=65,DH96,0)),MAX(0,(DJ96-DG96)/2)))</f>
        <v/>
      </c>
      <c r="DL96" s="14">
        <f>DG96+IF((DG96&gt;=DJ96),-DK96,DK96)</f>
        <v/>
      </c>
      <c r="DM96" s="14">
        <f>BW96+IF(B96&gt;=65,DE96,0)+IF((DG96&gt;=DJ96),-DK96,DK96)</f>
        <v/>
      </c>
      <c r="DN96" s="14">
        <f>MIN(BU96,tax_tables!$B$22*MAX(0,DL96-tax_tables!$B$21*P96))</f>
        <v/>
      </c>
      <c r="DO96" s="14">
        <f>MAX(0,DL96-DN96)</f>
        <v/>
      </c>
      <c r="DP96" s="14">
        <f>DJ96+IF((DG96&gt;=DJ96),DK96,-DK96)</f>
        <v/>
      </c>
      <c r="DQ96" s="14">
        <f>BX96+IF(C96&gt;=65,DH96,0)+IF((DG96&gt;=DJ96),DK96,-DK96)</f>
        <v/>
      </c>
      <c r="DR96" s="14">
        <f>MIN(BV96,tax_tables!$B$22*MAX(0,DP96-tax_tables!$B$21*P96))</f>
        <v/>
      </c>
      <c r="DS96" s="14">
        <f>MAX(0,DP96-DR96)</f>
        <v/>
      </c>
      <c r="DT96" s="14">
        <f>BJ96-BD96</f>
        <v/>
      </c>
      <c r="DU96" s="14">
        <f>(tax_tables!$B$6-(tax_tables!$B$6-tax_tables!$B$7)*MIN(1,MAX(0,(DL96-tax_tables!$B$8*P96)/((tax_tables!$B$9-tax_tables!$B$8)*P96))))*P96+(B96&gt;=65)*MAX(0,tax_tables!$B$10*P96-tax_tables!$B$12*MAX(0,DL96-tax_tables!$B$11*P96))+MIN(tax_tables!$B$13,DM96)+MIN(tax_tables!$B$14*P96,X96)+AF96+(DL96&lt;=DP96)*MAX(0,DT96-MIN(0.03*DL96,tax_tables!$B$15*P96))</f>
        <v/>
      </c>
      <c r="DV96" s="14">
        <f>MAX(0,SUMPRODUCT((DO96&gt;tax_tables!$E$5:$E$16*P96)*(DO96-tax_tables!$E$5:$E$16*P96)*tax_tables!$G$5:$G$16)-tax_tables!$B$5*DU96-tax_tables!$B$16*DF96)</f>
        <v/>
      </c>
      <c r="DW96" s="14">
        <f>tax_tables!$B$35*Q96+(B96&gt;=65)*MAX(0,tax_tables!$B$36*Q96-tax_tables!$B$12*MAX(0,DL96-tax_tables!$B$37*Q96))+MIN(tax_tables!$B$38,DM96)+AF96+(DL96&lt;=DP96)*MAX(0,DT96-MIN(0.03*DL96,tax_tables!$B$39*Q96))</f>
        <v/>
      </c>
      <c r="DX96" s="14">
        <f>MAX(0,SUMPRODUCT((DO96&gt;tax_tables!$I$5:$I$16*Q96)*(DO96-tax_tables!$I$5:$I$16*Q96)*tax_tables!$K$5:$K$16)-tax_tables!$B$34*DW96-tax_tables!$B$40*DF96-MAX(0,tax_tables!$B$41*Q96-tax_tables!$B$43*MAX(0,DL96-tax_tables!$B$42*Q96)))</f>
        <v/>
      </c>
      <c r="DY96" s="14">
        <f>(tax_tables!$B$6-(tax_tables!$B$6-tax_tables!$B$7)*MIN(1,MAX(0,(DP96-tax_tables!$B$8*P96)/((tax_tables!$B$9-tax_tables!$B$8)*P96))))*P96+(C96&gt;=65)*MAX(0,tax_tables!$B$10*P96-tax_tables!$B$12*MAX(0,DP96-tax_tables!$B$11*P96))+MIN(tax_tables!$B$13,DQ96)+MIN(tax_tables!$B$14*P96,Y96)+AG96+(DL96&gt;DP96)*MAX(0,DT96-MIN(0.03*DP96,tax_tables!$B$15*P96))</f>
        <v/>
      </c>
      <c r="DZ96" s="14">
        <f>MAX(0,SUMPRODUCT((DS96&gt;tax_tables!$E$5:$E$16*P96)*(DS96-tax_tables!$E$5:$E$16*P96)*tax_tables!$G$5:$G$16)-tax_tables!$B$5*DY96-tax_tables!$B$16*DI96)</f>
        <v/>
      </c>
      <c r="EA96" s="14">
        <f>tax_tables!$B$35*Q96+(C96&gt;=65)*MAX(0,tax_tables!$B$36*Q96-tax_tables!$B$12*MAX(0,DP96-tax_tables!$B$37*Q96))+MIN(tax_tables!$B$38,DQ96)+AG96+(DL96&gt;DP96)*MAX(0,DT96-MIN(0.03*DP96,tax_tables!$B$39*Q96))</f>
        <v/>
      </c>
      <c r="EB96" s="14">
        <f>MAX(0,SUMPRODUCT((DS96&gt;tax_tables!$I$5:$I$16*Q96)*(DS96-tax_tables!$I$5:$I$16*Q96)*tax_tables!$K$5:$K$16)-tax_tables!$B$34*EA96-tax_tables!$B$40*DI96-MAX(0,tax_tables!$B$41*Q96-tax_tables!$B$43*MAX(0,DP96-tax_tables!$B$42*Q96)))</f>
        <v/>
      </c>
      <c r="EC96" s="14">
        <f>DV96+DZ96+DX96+EB96+DN96+DR96</f>
        <v/>
      </c>
      <c r="ED96" s="14">
        <f>CZ96+DB96+DC96+DD96</f>
        <v/>
      </c>
      <c r="EE96" s="14">
        <f>ED96+BQ96-AR96+BR96</f>
        <v/>
      </c>
    </row>
    <row r="97">
      <c r="A97" s="21">
        <f>A96+1</f>
        <v/>
      </c>
      <c r="B97" s="21">
        <f>A97-household!$B$6</f>
        <v/>
      </c>
      <c r="C97" s="21">
        <f>A97-household!$B$9</f>
        <v/>
      </c>
      <c r="D97" s="14">
        <f>AU97+AV97+AW97+AX97+BB97+BJ97+AM97</f>
        <v/>
      </c>
      <c r="E97" s="14">
        <f>CN97+AI97+AH97</f>
        <v/>
      </c>
      <c r="F97" s="14">
        <f>BS97+BT97+BU97+BV97</f>
        <v/>
      </c>
      <c r="G97" s="14">
        <f>CQ97+CR97+CU97+CD97+CE97+CA97-CV97+CJ97+CW97</f>
        <v/>
      </c>
      <c r="H97" s="22">
        <f>IF(BY97+CB97+CC97+CF97&lt;=0,"",G97/(BY97+CB97+CC97+CF97))</f>
        <v/>
      </c>
      <c r="I97" s="23">
        <f>ED97/O97</f>
        <v/>
      </c>
      <c r="J97" s="23">
        <f>EE97/O97</f>
        <v/>
      </c>
      <c r="K97" s="14">
        <f>MAX(0,CP97-CQ97-CR97-CU97)</f>
        <v/>
      </c>
      <c r="L97" s="10" t="n"/>
      <c r="M97" s="22">
        <f>IF(L97="",$B$18,L97)</f>
        <v/>
      </c>
      <c r="N97" s="13" t="n"/>
      <c r="O97" s="12">
        <f>(1+$B$17)^(A97-household!$B$4+1)</f>
        <v/>
      </c>
      <c r="P97" s="12">
        <f>(1+$B$17)^(A97-tax_tables!$B$4)</f>
        <v/>
      </c>
      <c r="Q97" s="12">
        <f>(1+$B$17)^(A97-tax_tables!$B$4-MAX(0,MIN(A97,tax_tables!$B$45)-tax_tables!$B$44+1))</f>
        <v/>
      </c>
      <c r="R97" s="12">
        <f>(1+$B$21)^(A97-household!$B$4+1)</f>
        <v/>
      </c>
      <c r="S97" s="12">
        <f>(1+$B$22)^(A97-household!$B$4+1)</f>
        <v/>
      </c>
      <c r="T97" s="12">
        <f>(1+$B$23)^(A97-household!$B$4+1)</f>
        <v/>
      </c>
      <c r="U97" s="21">
        <f>IF(A97&lt;$B$5,1,0)</f>
        <v/>
      </c>
      <c r="V97" s="21">
        <f>IF(A97&lt;$B$6,1,0)</f>
        <v/>
      </c>
      <c r="W97" s="21">
        <f>IF(U97+V97&gt;0,1,0)</f>
        <v/>
      </c>
      <c r="X97" s="14">
        <f>U97*$B$7*O97+SUMPRODUCT(($B$72:$B$77=A97)*($D$72:$D$77="Wages: person 1")*$C$72:$C$77)*O97</f>
        <v/>
      </c>
      <c r="Y97" s="14">
        <f>V97*$B$8*O97+SUMPRODUCT(($B$72:$B$77=A97)*($D$72:$D$77="Wages: person 2")*$C$72:$C$77)*O97</f>
        <v/>
      </c>
      <c r="Z97" s="14">
        <f>U97*$B$9*O97</f>
        <v/>
      </c>
      <c r="AA97" s="14">
        <f>V97*$B$10*O97</f>
        <v/>
      </c>
      <c r="AB97" s="14">
        <f>U97*$B$11*O97</f>
        <v/>
      </c>
      <c r="AC97" s="14">
        <f>V97*$B$12*O97</f>
        <v/>
      </c>
      <c r="AD97" s="14">
        <f>X97+Y97</f>
        <v/>
      </c>
      <c r="AE97" s="14">
        <f>AD97-Z97-AA97</f>
        <v/>
      </c>
      <c r="AF97" s="14">
        <f>tax_tables!$B$25*MAX(0,MIN(X97,tax_tables!$B$27*P97)-tax_tables!$B$26)+tax_tables!$B$28*MAX(0,MIN(X97,tax_tables!$B$29*P97)-tax_tables!$B$27*P97)+tax_tables!$B$30*MIN(X97,tax_tables!$B$31*P97)</f>
        <v/>
      </c>
      <c r="AG97" s="14">
        <f>tax_tables!$B$25*MAX(0,MIN(Y97,tax_tables!$B$27*P97)-tax_tables!$B$26)+tax_tables!$B$28*MAX(0,MIN(Y97,tax_tables!$B$29*P97)-tax_tables!$B$27*P97)+tax_tables!$B$30*MIN(Y97,tax_tables!$B$31*P97)</f>
        <v/>
      </c>
      <c r="AH97" s="14">
        <f>AF97+AG97</f>
        <v/>
      </c>
      <c r="AI97" s="14">
        <f>$B$13*AE97</f>
        <v/>
      </c>
      <c r="AJ97" s="14">
        <f>AD97-Z97-AA97-AH97-AI97</f>
        <v/>
      </c>
      <c r="AK97" s="14">
        <f>SUMPRODUCT(($B$72:$B$77=A97)*($D$72:$D$77="Other taxable income")*$C$72:$C$77)*O97</f>
        <v/>
      </c>
      <c r="AL97" s="14">
        <f>SUMPRODUCT(($B$72:$B$77=A97)*($D$72:$D$77="Tax-free money in")*$C$72:$C$77)*O97</f>
        <v/>
      </c>
      <c r="AM97" s="14">
        <f>SUMPRODUCT(($B$72:$B$77=A97)*($D$72:$D$77="Expense")*$C$72:$C$77)*O97</f>
        <v/>
      </c>
      <c r="AN97" s="21">
        <f>IF(OR($B$64="",A97&lt;$B$64),1,0)</f>
        <v/>
      </c>
      <c r="AO97" s="14">
        <f>AR96</f>
        <v/>
      </c>
      <c r="AP97" s="14">
        <f>AN97*AO97*properties!$J$2</f>
        <v/>
      </c>
      <c r="AQ97" s="14">
        <f>AN97*MIN(properties!$K$2,AO97+AP97)</f>
        <v/>
      </c>
      <c r="AR97" s="14">
        <f>AN97*(AO97+AP97-AQ97)</f>
        <v/>
      </c>
      <c r="AS97" s="14">
        <f>AN97*properties!$G$2*O97</f>
        <v/>
      </c>
      <c r="AT97" s="14">
        <f>(1-AN97)*$E$64*O97</f>
        <v/>
      </c>
      <c r="AU97" s="14">
        <f>AQ97+AS97+AT97</f>
        <v/>
      </c>
      <c r="AV97" s="14">
        <f>SUMIF(budget!$A$2:$A$300,"household",budget!$F$2:$F$300)*O97*IF(N97="",1,N97)</f>
        <v/>
      </c>
      <c r="AW97" s="14">
        <f>SUMPRODUCT((other_budget!$C$2:$C$30&lt;=A97)*(other_budget!$D$2:$D$30&gt;=A97)*other_budget!$B$2:$B$30)*O97</f>
        <v/>
      </c>
      <c r="AX97" s="14">
        <f>SUMPRODUCT((kids_budget!$D$2:$D$40&lt;=A97)*(kids_budget!$E$2:$E$40&gt;=A97)*(kids_budget!$G$2:$G$40&lt;&gt;"college_funds")*kids_budget!$C$2:$C$40*((kids_budget!$F$2:$F$40="college")*S97+(kids_budget!$F$2:$F$40&lt;&gt;"college")*O97))</f>
        <v/>
      </c>
      <c r="AY97" s="14">
        <f>SUMPRODUCT((kids_budget!$D$2:$D$40&lt;=A97)*(kids_budget!$E$2:$E$40&gt;=A97)*(kids_budget!$G$2:$G$40="college_funds")*kids_budget!$C$2:$C$40*((kids_budget!$F$2:$F$40="college")*S97+(kids_budget!$F$2:$F$40&lt;&gt;"college")*O97))</f>
        <v/>
      </c>
      <c r="AZ97" s="14">
        <f>BC96</f>
        <v/>
      </c>
      <c r="BA97" s="14">
        <f>MIN(AY97,AZ97*(1+M97))</f>
        <v/>
      </c>
      <c r="BB97" s="14">
        <f>AY97-BA97</f>
        <v/>
      </c>
      <c r="BC97" s="14">
        <f>AZ97*(1+M97)-BA97</f>
        <v/>
      </c>
      <c r="BD97" s="14">
        <f>W97*healthcare!$B$2*R97</f>
        <v/>
      </c>
      <c r="BE97" s="21">
        <f>(1-W97)*2</f>
        <v/>
      </c>
      <c r="BF97" s="14">
        <f>BE97*healthcare!$B$3*12*R97</f>
        <v/>
      </c>
      <c r="BG97" s="14">
        <f>BE97*healthcare!$B$4*R97</f>
        <v/>
      </c>
      <c r="BH97" s="21">
        <f>AND(B97&gt;=$B$44,B97&lt;$B$44+$B$45)*1+AND(C97&gt;=$B$46,C97&lt;$B$46+$B$47)*1</f>
        <v/>
      </c>
      <c r="BI97" s="14">
        <f>BH97*$B$48*T97</f>
        <v/>
      </c>
      <c r="BJ97" s="14">
        <f>BD97+BF97+BG97+BI97</f>
        <v/>
      </c>
      <c r="BK97" s="14">
        <f>SUMPRODUCT((1-($B$65:$B$68&gt;0)*(A97&gt;=$B$65:$B$68))*(1-(($C$65:$C$68&gt;0)*(A97&gt;=$C$65:$C$68)))*(properties!$L$3:$L$6-properties!$M$3:$M$6))*O97+SUMPRODUCT((1-($B$65:$B$68&gt;0)*(A97&gt;=$B$65:$B$68))*(($C$65:$C$68&gt;0)*(A97&gt;=$C$65:$C$68))*($D$65:$D$68-$E$65:$E$68))*O97</f>
        <v/>
      </c>
      <c r="BL97" s="14">
        <f>SUMPRODUCT((1-($B$65:$B$68&gt;0)*(A97&gt;=$B$65:$B$68))*properties!$N$3:$N$6*(A97&lt;=properties!$O$3:$O$6))</f>
        <v/>
      </c>
      <c r="BM97" s="14">
        <f>MAX(0,BK97-BL97)</f>
        <v/>
      </c>
      <c r="BN97" s="14">
        <f>SUMPRODUCT(($B$64:$B$68=A97)*$G$64:$G$68)</f>
        <v/>
      </c>
      <c r="BO97" s="14">
        <f>SUMPRODUCT(($B$64:$B$68=A97)*$H$64:$H$68)</f>
        <v/>
      </c>
      <c r="BP97" s="14">
        <f>SUMPRODUCT(($B$64:$B$68=A97)*$I$64:$I$68)</f>
        <v/>
      </c>
      <c r="BQ97" s="14">
        <f>AN97*properties!$C$2*(1+properties!$D$2)^(A97-household!$B$4+1)</f>
        <v/>
      </c>
      <c r="BR97" s="14">
        <f>SUMPRODUCT((1-($B$65:$B$68&gt;0)*(A97&gt;=$B$65:$B$68))*properties!$C$3:$C$6*(1+properties!$D$3:$D$6)^(A97-household!$B$4+1))</f>
        <v/>
      </c>
      <c r="BS97" s="14">
        <f>IF(A97&gt;=household!$B$6+$B$26,household!$B$11*12*$B$30*O97,0)</f>
        <v/>
      </c>
      <c r="BT97" s="14">
        <f>IF(A97&gt;=household!$B$9+$B$27,household!$B$12*12*$B$31*O97,0)</f>
        <v/>
      </c>
      <c r="BU97" s="14">
        <f>IF(A97&gt;=household!$B$6+$B$28,tax_tables!$B$19*12*P97*MIN(1,household!$B$13/40)*$B$32*(1+tax_tables!$B$20*(B97&gt;=75)),0)</f>
        <v/>
      </c>
      <c r="BV97" s="14">
        <f>IF(A97&gt;=household!$B$9+$B$29,tax_tables!$B$19*12*P97*MIN(1,household!$B$14/40)*$B$33*(1+tax_tables!$B$20*(C97&gt;=75)),0)</f>
        <v/>
      </c>
      <c r="BW97" s="14">
        <f>IF(AND($B$36&lt;&gt;0,A97&gt;=household!$B$6+$B$37),$B$36*(1+$B$17)^(MAX(household!$B$6+$B$37,household!$B$4-1)-household!$B$4+1)*(1+$B$40*$B$17)^(A97-MAX(household!$B$6+$B$37,household!$B$4-1)),0)</f>
        <v/>
      </c>
      <c r="BX97" s="14">
        <f>IF(AND($B$38&lt;&gt;0,A97&gt;=household!$B$9+$B$39),$B$38*(1+$B$17)^(MAX(household!$B$9+$B$39,household!$B$4-1)-household!$B$4+1)*(1+$B$40*$B$17)^(A97-MAX(household!$B$9+$B$39,household!$B$4-1)),0)</f>
        <v/>
      </c>
      <c r="BY97" s="14">
        <f>CZ96</f>
        <v/>
      </c>
      <c r="BZ97" s="14">
        <f>DA96</f>
        <v/>
      </c>
      <c r="CA97" s="14">
        <f>$B$19*BY97</f>
        <v/>
      </c>
      <c r="CB97" s="14">
        <f>DB96</f>
        <v/>
      </c>
      <c r="CC97" s="14">
        <f>DC96</f>
        <v/>
      </c>
      <c r="CD97" s="14">
        <f>IF(B97&gt;=tax_tables!$B$46,MAX(0,CB97)*INDEX(tax_tables!$N$5:$N$54,MATCH(MIN(B97-1,120),tax_tables!$M$5:$M$54,0)),0)</f>
        <v/>
      </c>
      <c r="CE97" s="14">
        <f>IF(C97&gt;=tax_tables!$B$46,MAX(0,CC97)*INDEX(tax_tables!$N$5:$N$54,MATCH(MIN(C97-1,120),tax_tables!$M$5:$M$54,0)),0)</f>
        <v/>
      </c>
      <c r="CF97" s="14">
        <f>DD96</f>
        <v/>
      </c>
      <c r="CG97" s="14">
        <f>IF(OR($B$52="",$B$53=""),0,IF(AND(A97&gt;=$B$52,A97&lt;=$B$53),$B$51*O97,0))</f>
        <v/>
      </c>
      <c r="CH97" s="14">
        <f>MAX(0,CB97*(1+M97)-CD97)</f>
        <v/>
      </c>
      <c r="CI97" s="14">
        <f>MAX(0,CC97*(1+M97)-CE97)</f>
        <v/>
      </c>
      <c r="CJ97" s="14">
        <f>MIN(CG97,CH97+CI97)</f>
        <v/>
      </c>
      <c r="CK97" s="14">
        <f>IF(CH97+CI97&gt;1,CJ97*CH97/(CH97+CI97),0)</f>
        <v/>
      </c>
      <c r="CL97" s="14">
        <f>CJ97-CK97</f>
        <v/>
      </c>
      <c r="CM97" s="14">
        <f>CM96-CW96+CU96+tax_tables!$B$32*P97*2</f>
        <v/>
      </c>
      <c r="CN97" s="14">
        <f>EC96-AI96</f>
        <v/>
      </c>
      <c r="CO97" s="14">
        <f>AJ97+F97+BW97+BX97+BK97+CA97+CD97+CE97+BN97+AK97+AL97+CJ97</f>
        <v/>
      </c>
      <c r="CP97" s="14">
        <f>D97+CN97-CO97</f>
        <v/>
      </c>
      <c r="CQ97" s="14">
        <f>MAX(0,MIN(CP97,BY97*(1+M97-$B$19)))</f>
        <v/>
      </c>
      <c r="CR97" s="14">
        <f>MAX(0,MIN(CP97-CQ97,(CH97-CK97)+(CI97-CL97)))</f>
        <v/>
      </c>
      <c r="CS97" s="14">
        <f>IF((CH97-CK97)+(CI97-CL97)&gt;1,CR97*(CH97-CK97)/((CH97-CK97)+(CI97-CL97)),0)</f>
        <v/>
      </c>
      <c r="CT97" s="14">
        <f>CR97-CS97</f>
        <v/>
      </c>
      <c r="CU97" s="14">
        <f>MAX(0,MIN(CP97-CQ97-CR97,CF97*(1+M97)))</f>
        <v/>
      </c>
      <c r="CV97" s="14">
        <f>MAX(0,-CP97)</f>
        <v/>
      </c>
      <c r="CW97" s="14">
        <f>MIN(CV97,MAX(0,CM97))</f>
        <v/>
      </c>
      <c r="CX97" s="22">
        <f>IF(BY97&gt;0,MAX(0,1-BZ97/BY97),0)</f>
        <v/>
      </c>
      <c r="CY97" s="14">
        <f>CQ97*CX97</f>
        <v/>
      </c>
      <c r="CZ97" s="14">
        <f>BY97*(1+M97-$B$19)-CQ97+(CV97-CW97)</f>
        <v/>
      </c>
      <c r="DA97" s="14">
        <f>BZ97-(CQ97-CY97)+(CV97-CW97)</f>
        <v/>
      </c>
      <c r="DB97" s="14">
        <f>CB97*(1+M97)-CD97-CS97-CK97+Z97+AB97</f>
        <v/>
      </c>
      <c r="DC97" s="14">
        <f>CC97*(1+M97)-CE97-CT97-CL97+AA97+AC97</f>
        <v/>
      </c>
      <c r="DD97" s="14">
        <f>CF97*(1+M97)-CU97+CW97</f>
        <v/>
      </c>
      <c r="DE97" s="14">
        <f>CD97+CK97+CS97</f>
        <v/>
      </c>
      <c r="DF97" s="14">
        <f>CA97*household!$B$15*$B$20*(1+tax_tables!$B$17)</f>
        <v/>
      </c>
      <c r="DG97" s="14">
        <f>X97+BS97+BU97+BW97+DE97+DF97+CA97*household!$B$15*(1-$B$20)+(CY97+BO97)*household!$B$15*tax_tables!$B$18+(BP97+BM97+AK97)*household!$B$15-Z97</f>
        <v/>
      </c>
      <c r="DH97" s="14">
        <f>CE97+CL97+CT97</f>
        <v/>
      </c>
      <c r="DI97" s="14">
        <f>CA97*(1-household!$B$15)*$B$20*(1+tax_tables!$B$17)</f>
        <v/>
      </c>
      <c r="DJ97" s="14">
        <f>Y97+BT97+BV97+BX97+DH97+DI97+CA97*(1-household!$B$15)*(1-$B$20)+(CY97+BO97)*(1-household!$B$15)*tax_tables!$B$18+(BP97+BM97+AK97)*(1-household!$B$15)-AA97</f>
        <v/>
      </c>
      <c r="DK97" s="14">
        <f>IF((DG97&gt;=DJ97),MIN(0.5*(BW97+IF(B97&gt;=65,DE97,0)),MAX(0,(DG97-DJ97)/2)),MIN(0.5*(BX97+IF(C97&gt;=65,DH97,0)),MAX(0,(DJ97-DG97)/2)))</f>
        <v/>
      </c>
      <c r="DL97" s="14">
        <f>DG97+IF((DG97&gt;=DJ97),-DK97,DK97)</f>
        <v/>
      </c>
      <c r="DM97" s="14">
        <f>BW97+IF(B97&gt;=65,DE97,0)+IF((DG97&gt;=DJ97),-DK97,DK97)</f>
        <v/>
      </c>
      <c r="DN97" s="14">
        <f>MIN(BU97,tax_tables!$B$22*MAX(0,DL97-tax_tables!$B$21*P97))</f>
        <v/>
      </c>
      <c r="DO97" s="14">
        <f>MAX(0,DL97-DN97)</f>
        <v/>
      </c>
      <c r="DP97" s="14">
        <f>DJ97+IF((DG97&gt;=DJ97),DK97,-DK97)</f>
        <v/>
      </c>
      <c r="DQ97" s="14">
        <f>BX97+IF(C97&gt;=65,DH97,0)+IF((DG97&gt;=DJ97),DK97,-DK97)</f>
        <v/>
      </c>
      <c r="DR97" s="14">
        <f>MIN(BV97,tax_tables!$B$22*MAX(0,DP97-tax_tables!$B$21*P97))</f>
        <v/>
      </c>
      <c r="DS97" s="14">
        <f>MAX(0,DP97-DR97)</f>
        <v/>
      </c>
      <c r="DT97" s="14">
        <f>BJ97-BD97</f>
        <v/>
      </c>
      <c r="DU97" s="14">
        <f>(tax_tables!$B$6-(tax_tables!$B$6-tax_tables!$B$7)*MIN(1,MAX(0,(DL97-tax_tables!$B$8*P97)/((tax_tables!$B$9-tax_tables!$B$8)*P97))))*P97+(B97&gt;=65)*MAX(0,tax_tables!$B$10*P97-tax_tables!$B$12*MAX(0,DL97-tax_tables!$B$11*P97))+MIN(tax_tables!$B$13,DM97)+MIN(tax_tables!$B$14*P97,X97)+AF97+(DL97&lt;=DP97)*MAX(0,DT97-MIN(0.03*DL97,tax_tables!$B$15*P97))</f>
        <v/>
      </c>
      <c r="DV97" s="14">
        <f>MAX(0,SUMPRODUCT((DO97&gt;tax_tables!$E$5:$E$16*P97)*(DO97-tax_tables!$E$5:$E$16*P97)*tax_tables!$G$5:$G$16)-tax_tables!$B$5*DU97-tax_tables!$B$16*DF97)</f>
        <v/>
      </c>
      <c r="DW97" s="14">
        <f>tax_tables!$B$35*Q97+(B97&gt;=65)*MAX(0,tax_tables!$B$36*Q97-tax_tables!$B$12*MAX(0,DL97-tax_tables!$B$37*Q97))+MIN(tax_tables!$B$38,DM97)+AF97+(DL97&lt;=DP97)*MAX(0,DT97-MIN(0.03*DL97,tax_tables!$B$39*Q97))</f>
        <v/>
      </c>
      <c r="DX97" s="14">
        <f>MAX(0,SUMPRODUCT((DO97&gt;tax_tables!$I$5:$I$16*Q97)*(DO97-tax_tables!$I$5:$I$16*Q97)*tax_tables!$K$5:$K$16)-tax_tables!$B$34*DW97-tax_tables!$B$40*DF97-MAX(0,tax_tables!$B$41*Q97-tax_tables!$B$43*MAX(0,DL97-tax_tables!$B$42*Q97)))</f>
        <v/>
      </c>
      <c r="DY97" s="14">
        <f>(tax_tables!$B$6-(tax_tables!$B$6-tax_tables!$B$7)*MIN(1,MAX(0,(DP97-tax_tables!$B$8*P97)/((tax_tables!$B$9-tax_tables!$B$8)*P97))))*P97+(C97&gt;=65)*MAX(0,tax_tables!$B$10*P97-tax_tables!$B$12*MAX(0,DP97-tax_tables!$B$11*P97))+MIN(tax_tables!$B$13,DQ97)+MIN(tax_tables!$B$14*P97,Y97)+AG97+(DL97&gt;DP97)*MAX(0,DT97-MIN(0.03*DP97,tax_tables!$B$15*P97))</f>
        <v/>
      </c>
      <c r="DZ97" s="14">
        <f>MAX(0,SUMPRODUCT((DS97&gt;tax_tables!$E$5:$E$16*P97)*(DS97-tax_tables!$E$5:$E$16*P97)*tax_tables!$G$5:$G$16)-tax_tables!$B$5*DY97-tax_tables!$B$16*DI97)</f>
        <v/>
      </c>
      <c r="EA97" s="14">
        <f>tax_tables!$B$35*Q97+(C97&gt;=65)*MAX(0,tax_tables!$B$36*Q97-tax_tables!$B$12*MAX(0,DP97-tax_tables!$B$37*Q97))+MIN(tax_tables!$B$38,DQ97)+AG97+(DL97&gt;DP97)*MAX(0,DT97-MIN(0.03*DP97,tax_tables!$B$39*Q97))</f>
        <v/>
      </c>
      <c r="EB97" s="14">
        <f>MAX(0,SUMPRODUCT((DS97&gt;tax_tables!$I$5:$I$16*Q97)*(DS97-tax_tables!$I$5:$I$16*Q97)*tax_tables!$K$5:$K$16)-tax_tables!$B$34*EA97-tax_tables!$B$40*DI97-MAX(0,tax_tables!$B$41*Q97-tax_tables!$B$43*MAX(0,DP97-tax_tables!$B$42*Q97)))</f>
        <v/>
      </c>
      <c r="EC97" s="14">
        <f>DV97+DZ97+DX97+EB97+DN97+DR97</f>
        <v/>
      </c>
      <c r="ED97" s="14">
        <f>CZ97+DB97+DC97+DD97</f>
        <v/>
      </c>
      <c r="EE97" s="14">
        <f>ED97+BQ97-AR97+BR97</f>
        <v/>
      </c>
    </row>
    <row r="98">
      <c r="A98" s="21">
        <f>A97+1</f>
        <v/>
      </c>
      <c r="B98" s="21">
        <f>A98-household!$B$6</f>
        <v/>
      </c>
      <c r="C98" s="21">
        <f>A98-household!$B$9</f>
        <v/>
      </c>
      <c r="D98" s="14">
        <f>AU98+AV98+AW98+AX98+BB98+BJ98+AM98</f>
        <v/>
      </c>
      <c r="E98" s="14">
        <f>CN98+AI98+AH98</f>
        <v/>
      </c>
      <c r="F98" s="14">
        <f>BS98+BT98+BU98+BV98</f>
        <v/>
      </c>
      <c r="G98" s="14">
        <f>CQ98+CR98+CU98+CD98+CE98+CA98-CV98+CJ98+CW98</f>
        <v/>
      </c>
      <c r="H98" s="22">
        <f>IF(BY98+CB98+CC98+CF98&lt;=0,"",G98/(BY98+CB98+CC98+CF98))</f>
        <v/>
      </c>
      <c r="I98" s="23">
        <f>ED98/O98</f>
        <v/>
      </c>
      <c r="J98" s="23">
        <f>EE98/O98</f>
        <v/>
      </c>
      <c r="K98" s="14">
        <f>MAX(0,CP98-CQ98-CR98-CU98)</f>
        <v/>
      </c>
      <c r="L98" s="10" t="n"/>
      <c r="M98" s="22">
        <f>IF(L98="",$B$18,L98)</f>
        <v/>
      </c>
      <c r="N98" s="13" t="n"/>
      <c r="O98" s="12">
        <f>(1+$B$17)^(A98-household!$B$4+1)</f>
        <v/>
      </c>
      <c r="P98" s="12">
        <f>(1+$B$17)^(A98-tax_tables!$B$4)</f>
        <v/>
      </c>
      <c r="Q98" s="12">
        <f>(1+$B$17)^(A98-tax_tables!$B$4-MAX(0,MIN(A98,tax_tables!$B$45)-tax_tables!$B$44+1))</f>
        <v/>
      </c>
      <c r="R98" s="12">
        <f>(1+$B$21)^(A98-household!$B$4+1)</f>
        <v/>
      </c>
      <c r="S98" s="12">
        <f>(1+$B$22)^(A98-household!$B$4+1)</f>
        <v/>
      </c>
      <c r="T98" s="12">
        <f>(1+$B$23)^(A98-household!$B$4+1)</f>
        <v/>
      </c>
      <c r="U98" s="21">
        <f>IF(A98&lt;$B$5,1,0)</f>
        <v/>
      </c>
      <c r="V98" s="21">
        <f>IF(A98&lt;$B$6,1,0)</f>
        <v/>
      </c>
      <c r="W98" s="21">
        <f>IF(U98+V98&gt;0,1,0)</f>
        <v/>
      </c>
      <c r="X98" s="14">
        <f>U98*$B$7*O98+SUMPRODUCT(($B$72:$B$77=A98)*($D$72:$D$77="Wages: person 1")*$C$72:$C$77)*O98</f>
        <v/>
      </c>
      <c r="Y98" s="14">
        <f>V98*$B$8*O98+SUMPRODUCT(($B$72:$B$77=A98)*($D$72:$D$77="Wages: person 2")*$C$72:$C$77)*O98</f>
        <v/>
      </c>
      <c r="Z98" s="14">
        <f>U98*$B$9*O98</f>
        <v/>
      </c>
      <c r="AA98" s="14">
        <f>V98*$B$10*O98</f>
        <v/>
      </c>
      <c r="AB98" s="14">
        <f>U98*$B$11*O98</f>
        <v/>
      </c>
      <c r="AC98" s="14">
        <f>V98*$B$12*O98</f>
        <v/>
      </c>
      <c r="AD98" s="14">
        <f>X98+Y98</f>
        <v/>
      </c>
      <c r="AE98" s="14">
        <f>AD98-Z98-AA98</f>
        <v/>
      </c>
      <c r="AF98" s="14">
        <f>tax_tables!$B$25*MAX(0,MIN(X98,tax_tables!$B$27*P98)-tax_tables!$B$26)+tax_tables!$B$28*MAX(0,MIN(X98,tax_tables!$B$29*P98)-tax_tables!$B$27*P98)+tax_tables!$B$30*MIN(X98,tax_tables!$B$31*P98)</f>
        <v/>
      </c>
      <c r="AG98" s="14">
        <f>tax_tables!$B$25*MAX(0,MIN(Y98,tax_tables!$B$27*P98)-tax_tables!$B$26)+tax_tables!$B$28*MAX(0,MIN(Y98,tax_tables!$B$29*P98)-tax_tables!$B$27*P98)+tax_tables!$B$30*MIN(Y98,tax_tables!$B$31*P98)</f>
        <v/>
      </c>
      <c r="AH98" s="14">
        <f>AF98+AG98</f>
        <v/>
      </c>
      <c r="AI98" s="14">
        <f>$B$13*AE98</f>
        <v/>
      </c>
      <c r="AJ98" s="14">
        <f>AD98-Z98-AA98-AH98-AI98</f>
        <v/>
      </c>
      <c r="AK98" s="14">
        <f>SUMPRODUCT(($B$72:$B$77=A98)*($D$72:$D$77="Other taxable income")*$C$72:$C$77)*O98</f>
        <v/>
      </c>
      <c r="AL98" s="14">
        <f>SUMPRODUCT(($B$72:$B$77=A98)*($D$72:$D$77="Tax-free money in")*$C$72:$C$77)*O98</f>
        <v/>
      </c>
      <c r="AM98" s="14">
        <f>SUMPRODUCT(($B$72:$B$77=A98)*($D$72:$D$77="Expense")*$C$72:$C$77)*O98</f>
        <v/>
      </c>
      <c r="AN98" s="21">
        <f>IF(OR($B$64="",A98&lt;$B$64),1,0)</f>
        <v/>
      </c>
      <c r="AO98" s="14">
        <f>AR97</f>
        <v/>
      </c>
      <c r="AP98" s="14">
        <f>AN98*AO98*properties!$J$2</f>
        <v/>
      </c>
      <c r="AQ98" s="14">
        <f>AN98*MIN(properties!$K$2,AO98+AP98)</f>
        <v/>
      </c>
      <c r="AR98" s="14">
        <f>AN98*(AO98+AP98-AQ98)</f>
        <v/>
      </c>
      <c r="AS98" s="14">
        <f>AN98*properties!$G$2*O98</f>
        <v/>
      </c>
      <c r="AT98" s="14">
        <f>(1-AN98)*$E$64*O98</f>
        <v/>
      </c>
      <c r="AU98" s="14">
        <f>AQ98+AS98+AT98</f>
        <v/>
      </c>
      <c r="AV98" s="14">
        <f>SUMIF(budget!$A$2:$A$300,"household",budget!$F$2:$F$300)*O98*IF(N98="",1,N98)</f>
        <v/>
      </c>
      <c r="AW98" s="14">
        <f>SUMPRODUCT((other_budget!$C$2:$C$30&lt;=A98)*(other_budget!$D$2:$D$30&gt;=A98)*other_budget!$B$2:$B$30)*O98</f>
        <v/>
      </c>
      <c r="AX98" s="14">
        <f>SUMPRODUCT((kids_budget!$D$2:$D$40&lt;=A98)*(kids_budget!$E$2:$E$40&gt;=A98)*(kids_budget!$G$2:$G$40&lt;&gt;"college_funds")*kids_budget!$C$2:$C$40*((kids_budget!$F$2:$F$40="college")*S98+(kids_budget!$F$2:$F$40&lt;&gt;"college")*O98))</f>
        <v/>
      </c>
      <c r="AY98" s="14">
        <f>SUMPRODUCT((kids_budget!$D$2:$D$40&lt;=A98)*(kids_budget!$E$2:$E$40&gt;=A98)*(kids_budget!$G$2:$G$40="college_funds")*kids_budget!$C$2:$C$40*((kids_budget!$F$2:$F$40="college")*S98+(kids_budget!$F$2:$F$40&lt;&gt;"college")*O98))</f>
        <v/>
      </c>
      <c r="AZ98" s="14">
        <f>BC97</f>
        <v/>
      </c>
      <c r="BA98" s="14">
        <f>MIN(AY98,AZ98*(1+M98))</f>
        <v/>
      </c>
      <c r="BB98" s="14">
        <f>AY98-BA98</f>
        <v/>
      </c>
      <c r="BC98" s="14">
        <f>AZ98*(1+M98)-BA98</f>
        <v/>
      </c>
      <c r="BD98" s="14">
        <f>W98*healthcare!$B$2*R98</f>
        <v/>
      </c>
      <c r="BE98" s="21">
        <f>(1-W98)*2</f>
        <v/>
      </c>
      <c r="BF98" s="14">
        <f>BE98*healthcare!$B$3*12*R98</f>
        <v/>
      </c>
      <c r="BG98" s="14">
        <f>BE98*healthcare!$B$4*R98</f>
        <v/>
      </c>
      <c r="BH98" s="21">
        <f>AND(B98&gt;=$B$44,B98&lt;$B$44+$B$45)*1+AND(C98&gt;=$B$46,C98&lt;$B$46+$B$47)*1</f>
        <v/>
      </c>
      <c r="BI98" s="14">
        <f>BH98*$B$48*T98</f>
        <v/>
      </c>
      <c r="BJ98" s="14">
        <f>BD98+BF98+BG98+BI98</f>
        <v/>
      </c>
      <c r="BK98" s="14">
        <f>SUMPRODUCT((1-($B$65:$B$68&gt;0)*(A98&gt;=$B$65:$B$68))*(1-(($C$65:$C$68&gt;0)*(A98&gt;=$C$65:$C$68)))*(properties!$L$3:$L$6-properties!$M$3:$M$6))*O98+SUMPRODUCT((1-($B$65:$B$68&gt;0)*(A98&gt;=$B$65:$B$68))*(($C$65:$C$68&gt;0)*(A98&gt;=$C$65:$C$68))*($D$65:$D$68-$E$65:$E$68))*O98</f>
        <v/>
      </c>
      <c r="BL98" s="14">
        <f>SUMPRODUCT((1-($B$65:$B$68&gt;0)*(A98&gt;=$B$65:$B$68))*properties!$N$3:$N$6*(A98&lt;=properties!$O$3:$O$6))</f>
        <v/>
      </c>
      <c r="BM98" s="14">
        <f>MAX(0,BK98-BL98)</f>
        <v/>
      </c>
      <c r="BN98" s="14">
        <f>SUMPRODUCT(($B$64:$B$68=A98)*$G$64:$G$68)</f>
        <v/>
      </c>
      <c r="BO98" s="14">
        <f>SUMPRODUCT(($B$64:$B$68=A98)*$H$64:$H$68)</f>
        <v/>
      </c>
      <c r="BP98" s="14">
        <f>SUMPRODUCT(($B$64:$B$68=A98)*$I$64:$I$68)</f>
        <v/>
      </c>
      <c r="BQ98" s="14">
        <f>AN98*properties!$C$2*(1+properties!$D$2)^(A98-household!$B$4+1)</f>
        <v/>
      </c>
      <c r="BR98" s="14">
        <f>SUMPRODUCT((1-($B$65:$B$68&gt;0)*(A98&gt;=$B$65:$B$68))*properties!$C$3:$C$6*(1+properties!$D$3:$D$6)^(A98-household!$B$4+1))</f>
        <v/>
      </c>
      <c r="BS98" s="14">
        <f>IF(A98&gt;=household!$B$6+$B$26,household!$B$11*12*$B$30*O98,0)</f>
        <v/>
      </c>
      <c r="BT98" s="14">
        <f>IF(A98&gt;=household!$B$9+$B$27,household!$B$12*12*$B$31*O98,0)</f>
        <v/>
      </c>
      <c r="BU98" s="14">
        <f>IF(A98&gt;=household!$B$6+$B$28,tax_tables!$B$19*12*P98*MIN(1,household!$B$13/40)*$B$32*(1+tax_tables!$B$20*(B98&gt;=75)),0)</f>
        <v/>
      </c>
      <c r="BV98" s="14">
        <f>IF(A98&gt;=household!$B$9+$B$29,tax_tables!$B$19*12*P98*MIN(1,household!$B$14/40)*$B$33*(1+tax_tables!$B$20*(C98&gt;=75)),0)</f>
        <v/>
      </c>
      <c r="BW98" s="14">
        <f>IF(AND($B$36&lt;&gt;0,A98&gt;=household!$B$6+$B$37),$B$36*(1+$B$17)^(MAX(household!$B$6+$B$37,household!$B$4-1)-household!$B$4+1)*(1+$B$40*$B$17)^(A98-MAX(household!$B$6+$B$37,household!$B$4-1)),0)</f>
        <v/>
      </c>
      <c r="BX98" s="14">
        <f>IF(AND($B$38&lt;&gt;0,A98&gt;=household!$B$9+$B$39),$B$38*(1+$B$17)^(MAX(household!$B$9+$B$39,household!$B$4-1)-household!$B$4+1)*(1+$B$40*$B$17)^(A98-MAX(household!$B$9+$B$39,household!$B$4-1)),0)</f>
        <v/>
      </c>
      <c r="BY98" s="14">
        <f>CZ97</f>
        <v/>
      </c>
      <c r="BZ98" s="14">
        <f>DA97</f>
        <v/>
      </c>
      <c r="CA98" s="14">
        <f>$B$19*BY98</f>
        <v/>
      </c>
      <c r="CB98" s="14">
        <f>DB97</f>
        <v/>
      </c>
      <c r="CC98" s="14">
        <f>DC97</f>
        <v/>
      </c>
      <c r="CD98" s="14">
        <f>IF(B98&gt;=tax_tables!$B$46,MAX(0,CB98)*INDEX(tax_tables!$N$5:$N$54,MATCH(MIN(B98-1,120),tax_tables!$M$5:$M$54,0)),0)</f>
        <v/>
      </c>
      <c r="CE98" s="14">
        <f>IF(C98&gt;=tax_tables!$B$46,MAX(0,CC98)*INDEX(tax_tables!$N$5:$N$54,MATCH(MIN(C98-1,120),tax_tables!$M$5:$M$54,0)),0)</f>
        <v/>
      </c>
      <c r="CF98" s="14">
        <f>DD97</f>
        <v/>
      </c>
      <c r="CG98" s="14">
        <f>IF(OR($B$52="",$B$53=""),0,IF(AND(A98&gt;=$B$52,A98&lt;=$B$53),$B$51*O98,0))</f>
        <v/>
      </c>
      <c r="CH98" s="14">
        <f>MAX(0,CB98*(1+M98)-CD98)</f>
        <v/>
      </c>
      <c r="CI98" s="14">
        <f>MAX(0,CC98*(1+M98)-CE98)</f>
        <v/>
      </c>
      <c r="CJ98" s="14">
        <f>MIN(CG98,CH98+CI98)</f>
        <v/>
      </c>
      <c r="CK98" s="14">
        <f>IF(CH98+CI98&gt;1,CJ98*CH98/(CH98+CI98),0)</f>
        <v/>
      </c>
      <c r="CL98" s="14">
        <f>CJ98-CK98</f>
        <v/>
      </c>
      <c r="CM98" s="14">
        <f>CM97-CW97+CU97+tax_tables!$B$32*P98*2</f>
        <v/>
      </c>
      <c r="CN98" s="14">
        <f>EC97-AI97</f>
        <v/>
      </c>
      <c r="CO98" s="14">
        <f>AJ98+F98+BW98+BX98+BK98+CA98+CD98+CE98+BN98+AK98+AL98+CJ98</f>
        <v/>
      </c>
      <c r="CP98" s="14">
        <f>D98+CN98-CO98</f>
        <v/>
      </c>
      <c r="CQ98" s="14">
        <f>MAX(0,MIN(CP98,BY98*(1+M98-$B$19)))</f>
        <v/>
      </c>
      <c r="CR98" s="14">
        <f>MAX(0,MIN(CP98-CQ98,(CH98-CK98)+(CI98-CL98)))</f>
        <v/>
      </c>
      <c r="CS98" s="14">
        <f>IF((CH98-CK98)+(CI98-CL98)&gt;1,CR98*(CH98-CK98)/((CH98-CK98)+(CI98-CL98)),0)</f>
        <v/>
      </c>
      <c r="CT98" s="14">
        <f>CR98-CS98</f>
        <v/>
      </c>
      <c r="CU98" s="14">
        <f>MAX(0,MIN(CP98-CQ98-CR98,CF98*(1+M98)))</f>
        <v/>
      </c>
      <c r="CV98" s="14">
        <f>MAX(0,-CP98)</f>
        <v/>
      </c>
      <c r="CW98" s="14">
        <f>MIN(CV98,MAX(0,CM98))</f>
        <v/>
      </c>
      <c r="CX98" s="22">
        <f>IF(BY98&gt;0,MAX(0,1-BZ98/BY98),0)</f>
        <v/>
      </c>
      <c r="CY98" s="14">
        <f>CQ98*CX98</f>
        <v/>
      </c>
      <c r="CZ98" s="14">
        <f>BY98*(1+M98-$B$19)-CQ98+(CV98-CW98)</f>
        <v/>
      </c>
      <c r="DA98" s="14">
        <f>BZ98-(CQ98-CY98)+(CV98-CW98)</f>
        <v/>
      </c>
      <c r="DB98" s="14">
        <f>CB98*(1+M98)-CD98-CS98-CK98+Z98+AB98</f>
        <v/>
      </c>
      <c r="DC98" s="14">
        <f>CC98*(1+M98)-CE98-CT98-CL98+AA98+AC98</f>
        <v/>
      </c>
      <c r="DD98" s="14">
        <f>CF98*(1+M98)-CU98+CW98</f>
        <v/>
      </c>
      <c r="DE98" s="14">
        <f>CD98+CK98+CS98</f>
        <v/>
      </c>
      <c r="DF98" s="14">
        <f>CA98*household!$B$15*$B$20*(1+tax_tables!$B$17)</f>
        <v/>
      </c>
      <c r="DG98" s="14">
        <f>X98+BS98+BU98+BW98+DE98+DF98+CA98*household!$B$15*(1-$B$20)+(CY98+BO98)*household!$B$15*tax_tables!$B$18+(BP98+BM98+AK98)*household!$B$15-Z98</f>
        <v/>
      </c>
      <c r="DH98" s="14">
        <f>CE98+CL98+CT98</f>
        <v/>
      </c>
      <c r="DI98" s="14">
        <f>CA98*(1-household!$B$15)*$B$20*(1+tax_tables!$B$17)</f>
        <v/>
      </c>
      <c r="DJ98" s="14">
        <f>Y98+BT98+BV98+BX98+DH98+DI98+CA98*(1-household!$B$15)*(1-$B$20)+(CY98+BO98)*(1-household!$B$15)*tax_tables!$B$18+(BP98+BM98+AK98)*(1-household!$B$15)-AA98</f>
        <v/>
      </c>
      <c r="DK98" s="14">
        <f>IF((DG98&gt;=DJ98),MIN(0.5*(BW98+IF(B98&gt;=65,DE98,0)),MAX(0,(DG98-DJ98)/2)),MIN(0.5*(BX98+IF(C98&gt;=65,DH98,0)),MAX(0,(DJ98-DG98)/2)))</f>
        <v/>
      </c>
      <c r="DL98" s="14">
        <f>DG98+IF((DG98&gt;=DJ98),-DK98,DK98)</f>
        <v/>
      </c>
      <c r="DM98" s="14">
        <f>BW98+IF(B98&gt;=65,DE98,0)+IF((DG98&gt;=DJ98),-DK98,DK98)</f>
        <v/>
      </c>
      <c r="DN98" s="14">
        <f>MIN(BU98,tax_tables!$B$22*MAX(0,DL98-tax_tables!$B$21*P98))</f>
        <v/>
      </c>
      <c r="DO98" s="14">
        <f>MAX(0,DL98-DN98)</f>
        <v/>
      </c>
      <c r="DP98" s="14">
        <f>DJ98+IF((DG98&gt;=DJ98),DK98,-DK98)</f>
        <v/>
      </c>
      <c r="DQ98" s="14">
        <f>BX98+IF(C98&gt;=65,DH98,0)+IF((DG98&gt;=DJ98),DK98,-DK98)</f>
        <v/>
      </c>
      <c r="DR98" s="14">
        <f>MIN(BV98,tax_tables!$B$22*MAX(0,DP98-tax_tables!$B$21*P98))</f>
        <v/>
      </c>
      <c r="DS98" s="14">
        <f>MAX(0,DP98-DR98)</f>
        <v/>
      </c>
      <c r="DT98" s="14">
        <f>BJ98-BD98</f>
        <v/>
      </c>
      <c r="DU98" s="14">
        <f>(tax_tables!$B$6-(tax_tables!$B$6-tax_tables!$B$7)*MIN(1,MAX(0,(DL98-tax_tables!$B$8*P98)/((tax_tables!$B$9-tax_tables!$B$8)*P98))))*P98+(B98&gt;=65)*MAX(0,tax_tables!$B$10*P98-tax_tables!$B$12*MAX(0,DL98-tax_tables!$B$11*P98))+MIN(tax_tables!$B$13,DM98)+MIN(tax_tables!$B$14*P98,X98)+AF98+(DL98&lt;=DP98)*MAX(0,DT98-MIN(0.03*DL98,tax_tables!$B$15*P98))</f>
        <v/>
      </c>
      <c r="DV98" s="14">
        <f>MAX(0,SUMPRODUCT((DO98&gt;tax_tables!$E$5:$E$16*P98)*(DO98-tax_tables!$E$5:$E$16*P98)*tax_tables!$G$5:$G$16)-tax_tables!$B$5*DU98-tax_tables!$B$16*DF98)</f>
        <v/>
      </c>
      <c r="DW98" s="14">
        <f>tax_tables!$B$35*Q98+(B98&gt;=65)*MAX(0,tax_tables!$B$36*Q98-tax_tables!$B$12*MAX(0,DL98-tax_tables!$B$37*Q98))+MIN(tax_tables!$B$38,DM98)+AF98+(DL98&lt;=DP98)*MAX(0,DT98-MIN(0.03*DL98,tax_tables!$B$39*Q98))</f>
        <v/>
      </c>
      <c r="DX98" s="14">
        <f>MAX(0,SUMPRODUCT((DO98&gt;tax_tables!$I$5:$I$16*Q98)*(DO98-tax_tables!$I$5:$I$16*Q98)*tax_tables!$K$5:$K$16)-tax_tables!$B$34*DW98-tax_tables!$B$40*DF98-MAX(0,tax_tables!$B$41*Q98-tax_tables!$B$43*MAX(0,DL98-tax_tables!$B$42*Q98)))</f>
        <v/>
      </c>
      <c r="DY98" s="14">
        <f>(tax_tables!$B$6-(tax_tables!$B$6-tax_tables!$B$7)*MIN(1,MAX(0,(DP98-tax_tables!$B$8*P98)/((tax_tables!$B$9-tax_tables!$B$8)*P98))))*P98+(C98&gt;=65)*MAX(0,tax_tables!$B$10*P98-tax_tables!$B$12*MAX(0,DP98-tax_tables!$B$11*P98))+MIN(tax_tables!$B$13,DQ98)+MIN(tax_tables!$B$14*P98,Y98)+AG98+(DL98&gt;DP98)*MAX(0,DT98-MIN(0.03*DP98,tax_tables!$B$15*P98))</f>
        <v/>
      </c>
      <c r="DZ98" s="14">
        <f>MAX(0,SUMPRODUCT((DS98&gt;tax_tables!$E$5:$E$16*P98)*(DS98-tax_tables!$E$5:$E$16*P98)*tax_tables!$G$5:$G$16)-tax_tables!$B$5*DY98-tax_tables!$B$16*DI98)</f>
        <v/>
      </c>
      <c r="EA98" s="14">
        <f>tax_tables!$B$35*Q98+(C98&gt;=65)*MAX(0,tax_tables!$B$36*Q98-tax_tables!$B$12*MAX(0,DP98-tax_tables!$B$37*Q98))+MIN(tax_tables!$B$38,DQ98)+AG98+(DL98&gt;DP98)*MAX(0,DT98-MIN(0.03*DP98,tax_tables!$B$39*Q98))</f>
        <v/>
      </c>
      <c r="EB98" s="14">
        <f>MAX(0,SUMPRODUCT((DS98&gt;tax_tables!$I$5:$I$16*Q98)*(DS98-tax_tables!$I$5:$I$16*Q98)*tax_tables!$K$5:$K$16)-tax_tables!$B$34*EA98-tax_tables!$B$40*DI98-MAX(0,tax_tables!$B$41*Q98-tax_tables!$B$43*MAX(0,DP98-tax_tables!$B$42*Q98)))</f>
        <v/>
      </c>
      <c r="EC98" s="14">
        <f>DV98+DZ98+DX98+EB98+DN98+DR98</f>
        <v/>
      </c>
      <c r="ED98" s="14">
        <f>CZ98+DB98+DC98+DD98</f>
        <v/>
      </c>
      <c r="EE98" s="14">
        <f>ED98+BQ98-AR98+BR98</f>
        <v/>
      </c>
    </row>
    <row r="99">
      <c r="A99" s="21">
        <f>A98+1</f>
        <v/>
      </c>
      <c r="B99" s="21">
        <f>A99-household!$B$6</f>
        <v/>
      </c>
      <c r="C99" s="21">
        <f>A99-household!$B$9</f>
        <v/>
      </c>
      <c r="D99" s="14">
        <f>AU99+AV99+AW99+AX99+BB99+BJ99+AM99</f>
        <v/>
      </c>
      <c r="E99" s="14">
        <f>CN99+AI99+AH99</f>
        <v/>
      </c>
      <c r="F99" s="14">
        <f>BS99+BT99+BU99+BV99</f>
        <v/>
      </c>
      <c r="G99" s="14">
        <f>CQ99+CR99+CU99+CD99+CE99+CA99-CV99+CJ99+CW99</f>
        <v/>
      </c>
      <c r="H99" s="22">
        <f>IF(BY99+CB99+CC99+CF99&lt;=0,"",G99/(BY99+CB99+CC99+CF99))</f>
        <v/>
      </c>
      <c r="I99" s="23">
        <f>ED99/O99</f>
        <v/>
      </c>
      <c r="J99" s="23">
        <f>EE99/O99</f>
        <v/>
      </c>
      <c r="K99" s="14">
        <f>MAX(0,CP99-CQ99-CR99-CU99)</f>
        <v/>
      </c>
      <c r="L99" s="10" t="n"/>
      <c r="M99" s="22">
        <f>IF(L99="",$B$18,L99)</f>
        <v/>
      </c>
      <c r="N99" s="13" t="n"/>
      <c r="O99" s="12">
        <f>(1+$B$17)^(A99-household!$B$4+1)</f>
        <v/>
      </c>
      <c r="P99" s="12">
        <f>(1+$B$17)^(A99-tax_tables!$B$4)</f>
        <v/>
      </c>
      <c r="Q99" s="12">
        <f>(1+$B$17)^(A99-tax_tables!$B$4-MAX(0,MIN(A99,tax_tables!$B$45)-tax_tables!$B$44+1))</f>
        <v/>
      </c>
      <c r="R99" s="12">
        <f>(1+$B$21)^(A99-household!$B$4+1)</f>
        <v/>
      </c>
      <c r="S99" s="12">
        <f>(1+$B$22)^(A99-household!$B$4+1)</f>
        <v/>
      </c>
      <c r="T99" s="12">
        <f>(1+$B$23)^(A99-household!$B$4+1)</f>
        <v/>
      </c>
      <c r="U99" s="21">
        <f>IF(A99&lt;$B$5,1,0)</f>
        <v/>
      </c>
      <c r="V99" s="21">
        <f>IF(A99&lt;$B$6,1,0)</f>
        <v/>
      </c>
      <c r="W99" s="21">
        <f>IF(U99+V99&gt;0,1,0)</f>
        <v/>
      </c>
      <c r="X99" s="14">
        <f>U99*$B$7*O99+SUMPRODUCT(($B$72:$B$77=A99)*($D$72:$D$77="Wages: person 1")*$C$72:$C$77)*O99</f>
        <v/>
      </c>
      <c r="Y99" s="14">
        <f>V99*$B$8*O99+SUMPRODUCT(($B$72:$B$77=A99)*($D$72:$D$77="Wages: person 2")*$C$72:$C$77)*O99</f>
        <v/>
      </c>
      <c r="Z99" s="14">
        <f>U99*$B$9*O99</f>
        <v/>
      </c>
      <c r="AA99" s="14">
        <f>V99*$B$10*O99</f>
        <v/>
      </c>
      <c r="AB99" s="14">
        <f>U99*$B$11*O99</f>
        <v/>
      </c>
      <c r="AC99" s="14">
        <f>V99*$B$12*O99</f>
        <v/>
      </c>
      <c r="AD99" s="14">
        <f>X99+Y99</f>
        <v/>
      </c>
      <c r="AE99" s="14">
        <f>AD99-Z99-AA99</f>
        <v/>
      </c>
      <c r="AF99" s="14">
        <f>tax_tables!$B$25*MAX(0,MIN(X99,tax_tables!$B$27*P99)-tax_tables!$B$26)+tax_tables!$B$28*MAX(0,MIN(X99,tax_tables!$B$29*P99)-tax_tables!$B$27*P99)+tax_tables!$B$30*MIN(X99,tax_tables!$B$31*P99)</f>
        <v/>
      </c>
      <c r="AG99" s="14">
        <f>tax_tables!$B$25*MAX(0,MIN(Y99,tax_tables!$B$27*P99)-tax_tables!$B$26)+tax_tables!$B$28*MAX(0,MIN(Y99,tax_tables!$B$29*P99)-tax_tables!$B$27*P99)+tax_tables!$B$30*MIN(Y99,tax_tables!$B$31*P99)</f>
        <v/>
      </c>
      <c r="AH99" s="14">
        <f>AF99+AG99</f>
        <v/>
      </c>
      <c r="AI99" s="14">
        <f>$B$13*AE99</f>
        <v/>
      </c>
      <c r="AJ99" s="14">
        <f>AD99-Z99-AA99-AH99-AI99</f>
        <v/>
      </c>
      <c r="AK99" s="14">
        <f>SUMPRODUCT(($B$72:$B$77=A99)*($D$72:$D$77="Other taxable income")*$C$72:$C$77)*O99</f>
        <v/>
      </c>
      <c r="AL99" s="14">
        <f>SUMPRODUCT(($B$72:$B$77=A99)*($D$72:$D$77="Tax-free money in")*$C$72:$C$77)*O99</f>
        <v/>
      </c>
      <c r="AM99" s="14">
        <f>SUMPRODUCT(($B$72:$B$77=A99)*($D$72:$D$77="Expense")*$C$72:$C$77)*O99</f>
        <v/>
      </c>
      <c r="AN99" s="21">
        <f>IF(OR($B$64="",A99&lt;$B$64),1,0)</f>
        <v/>
      </c>
      <c r="AO99" s="14">
        <f>AR98</f>
        <v/>
      </c>
      <c r="AP99" s="14">
        <f>AN99*AO99*properties!$J$2</f>
        <v/>
      </c>
      <c r="AQ99" s="14">
        <f>AN99*MIN(properties!$K$2,AO99+AP99)</f>
        <v/>
      </c>
      <c r="AR99" s="14">
        <f>AN99*(AO99+AP99-AQ99)</f>
        <v/>
      </c>
      <c r="AS99" s="14">
        <f>AN99*properties!$G$2*O99</f>
        <v/>
      </c>
      <c r="AT99" s="14">
        <f>(1-AN99)*$E$64*O99</f>
        <v/>
      </c>
      <c r="AU99" s="14">
        <f>AQ99+AS99+AT99</f>
        <v/>
      </c>
      <c r="AV99" s="14">
        <f>SUMIF(budget!$A$2:$A$300,"household",budget!$F$2:$F$300)*O99*IF(N99="",1,N99)</f>
        <v/>
      </c>
      <c r="AW99" s="14">
        <f>SUMPRODUCT((other_budget!$C$2:$C$30&lt;=A99)*(other_budget!$D$2:$D$30&gt;=A99)*other_budget!$B$2:$B$30)*O99</f>
        <v/>
      </c>
      <c r="AX99" s="14">
        <f>SUMPRODUCT((kids_budget!$D$2:$D$40&lt;=A99)*(kids_budget!$E$2:$E$40&gt;=A99)*(kids_budget!$G$2:$G$40&lt;&gt;"college_funds")*kids_budget!$C$2:$C$40*((kids_budget!$F$2:$F$40="college")*S99+(kids_budget!$F$2:$F$40&lt;&gt;"college")*O99))</f>
        <v/>
      </c>
      <c r="AY99" s="14">
        <f>SUMPRODUCT((kids_budget!$D$2:$D$40&lt;=A99)*(kids_budget!$E$2:$E$40&gt;=A99)*(kids_budget!$G$2:$G$40="college_funds")*kids_budget!$C$2:$C$40*((kids_budget!$F$2:$F$40="college")*S99+(kids_budget!$F$2:$F$40&lt;&gt;"college")*O99))</f>
        <v/>
      </c>
      <c r="AZ99" s="14">
        <f>BC98</f>
        <v/>
      </c>
      <c r="BA99" s="14">
        <f>MIN(AY99,AZ99*(1+M99))</f>
        <v/>
      </c>
      <c r="BB99" s="14">
        <f>AY99-BA99</f>
        <v/>
      </c>
      <c r="BC99" s="14">
        <f>AZ99*(1+M99)-BA99</f>
        <v/>
      </c>
      <c r="BD99" s="14">
        <f>W99*healthcare!$B$2*R99</f>
        <v/>
      </c>
      <c r="BE99" s="21">
        <f>(1-W99)*2</f>
        <v/>
      </c>
      <c r="BF99" s="14">
        <f>BE99*healthcare!$B$3*12*R99</f>
        <v/>
      </c>
      <c r="BG99" s="14">
        <f>BE99*healthcare!$B$4*R99</f>
        <v/>
      </c>
      <c r="BH99" s="21">
        <f>AND(B99&gt;=$B$44,B99&lt;$B$44+$B$45)*1+AND(C99&gt;=$B$46,C99&lt;$B$46+$B$47)*1</f>
        <v/>
      </c>
      <c r="BI99" s="14">
        <f>BH99*$B$48*T99</f>
        <v/>
      </c>
      <c r="BJ99" s="14">
        <f>BD99+BF99+BG99+BI99</f>
        <v/>
      </c>
      <c r="BK99" s="14">
        <f>SUMPRODUCT((1-($B$65:$B$68&gt;0)*(A99&gt;=$B$65:$B$68))*(1-(($C$65:$C$68&gt;0)*(A99&gt;=$C$65:$C$68)))*(properties!$L$3:$L$6-properties!$M$3:$M$6))*O99+SUMPRODUCT((1-($B$65:$B$68&gt;0)*(A99&gt;=$B$65:$B$68))*(($C$65:$C$68&gt;0)*(A99&gt;=$C$65:$C$68))*($D$65:$D$68-$E$65:$E$68))*O99</f>
        <v/>
      </c>
      <c r="BL99" s="14">
        <f>SUMPRODUCT((1-($B$65:$B$68&gt;0)*(A99&gt;=$B$65:$B$68))*properties!$N$3:$N$6*(A99&lt;=properties!$O$3:$O$6))</f>
        <v/>
      </c>
      <c r="BM99" s="14">
        <f>MAX(0,BK99-BL99)</f>
        <v/>
      </c>
      <c r="BN99" s="14">
        <f>SUMPRODUCT(($B$64:$B$68=A99)*$G$64:$G$68)</f>
        <v/>
      </c>
      <c r="BO99" s="14">
        <f>SUMPRODUCT(($B$64:$B$68=A99)*$H$64:$H$68)</f>
        <v/>
      </c>
      <c r="BP99" s="14">
        <f>SUMPRODUCT(($B$64:$B$68=A99)*$I$64:$I$68)</f>
        <v/>
      </c>
      <c r="BQ99" s="14">
        <f>AN99*properties!$C$2*(1+properties!$D$2)^(A99-household!$B$4+1)</f>
        <v/>
      </c>
      <c r="BR99" s="14">
        <f>SUMPRODUCT((1-($B$65:$B$68&gt;0)*(A99&gt;=$B$65:$B$68))*properties!$C$3:$C$6*(1+properties!$D$3:$D$6)^(A99-household!$B$4+1))</f>
        <v/>
      </c>
      <c r="BS99" s="14">
        <f>IF(A99&gt;=household!$B$6+$B$26,household!$B$11*12*$B$30*O99,0)</f>
        <v/>
      </c>
      <c r="BT99" s="14">
        <f>IF(A99&gt;=household!$B$9+$B$27,household!$B$12*12*$B$31*O99,0)</f>
        <v/>
      </c>
      <c r="BU99" s="14">
        <f>IF(A99&gt;=household!$B$6+$B$28,tax_tables!$B$19*12*P99*MIN(1,household!$B$13/40)*$B$32*(1+tax_tables!$B$20*(B99&gt;=75)),0)</f>
        <v/>
      </c>
      <c r="BV99" s="14">
        <f>IF(A99&gt;=household!$B$9+$B$29,tax_tables!$B$19*12*P99*MIN(1,household!$B$14/40)*$B$33*(1+tax_tables!$B$20*(C99&gt;=75)),0)</f>
        <v/>
      </c>
      <c r="BW99" s="14">
        <f>IF(AND($B$36&lt;&gt;0,A99&gt;=household!$B$6+$B$37),$B$36*(1+$B$17)^(MAX(household!$B$6+$B$37,household!$B$4-1)-household!$B$4+1)*(1+$B$40*$B$17)^(A99-MAX(household!$B$6+$B$37,household!$B$4-1)),0)</f>
        <v/>
      </c>
      <c r="BX99" s="14">
        <f>IF(AND($B$38&lt;&gt;0,A99&gt;=household!$B$9+$B$39),$B$38*(1+$B$17)^(MAX(household!$B$9+$B$39,household!$B$4-1)-household!$B$4+1)*(1+$B$40*$B$17)^(A99-MAX(household!$B$9+$B$39,household!$B$4-1)),0)</f>
        <v/>
      </c>
      <c r="BY99" s="14">
        <f>CZ98</f>
        <v/>
      </c>
      <c r="BZ99" s="14">
        <f>DA98</f>
        <v/>
      </c>
      <c r="CA99" s="14">
        <f>$B$19*BY99</f>
        <v/>
      </c>
      <c r="CB99" s="14">
        <f>DB98</f>
        <v/>
      </c>
      <c r="CC99" s="14">
        <f>DC98</f>
        <v/>
      </c>
      <c r="CD99" s="14">
        <f>IF(B99&gt;=tax_tables!$B$46,MAX(0,CB99)*INDEX(tax_tables!$N$5:$N$54,MATCH(MIN(B99-1,120),tax_tables!$M$5:$M$54,0)),0)</f>
        <v/>
      </c>
      <c r="CE99" s="14">
        <f>IF(C99&gt;=tax_tables!$B$46,MAX(0,CC99)*INDEX(tax_tables!$N$5:$N$54,MATCH(MIN(C99-1,120),tax_tables!$M$5:$M$54,0)),0)</f>
        <v/>
      </c>
      <c r="CF99" s="14">
        <f>DD98</f>
        <v/>
      </c>
      <c r="CG99" s="14">
        <f>IF(OR($B$52="",$B$53=""),0,IF(AND(A99&gt;=$B$52,A99&lt;=$B$53),$B$51*O99,0))</f>
        <v/>
      </c>
      <c r="CH99" s="14">
        <f>MAX(0,CB99*(1+M99)-CD99)</f>
        <v/>
      </c>
      <c r="CI99" s="14">
        <f>MAX(0,CC99*(1+M99)-CE99)</f>
        <v/>
      </c>
      <c r="CJ99" s="14">
        <f>MIN(CG99,CH99+CI99)</f>
        <v/>
      </c>
      <c r="CK99" s="14">
        <f>IF(CH99+CI99&gt;1,CJ99*CH99/(CH99+CI99),0)</f>
        <v/>
      </c>
      <c r="CL99" s="14">
        <f>CJ99-CK99</f>
        <v/>
      </c>
      <c r="CM99" s="14">
        <f>CM98-CW98+CU98+tax_tables!$B$32*P99*2</f>
        <v/>
      </c>
      <c r="CN99" s="14">
        <f>EC98-AI98</f>
        <v/>
      </c>
      <c r="CO99" s="14">
        <f>AJ99+F99+BW99+BX99+BK99+CA99+CD99+CE99+BN99+AK99+AL99+CJ99</f>
        <v/>
      </c>
      <c r="CP99" s="14">
        <f>D99+CN99-CO99</f>
        <v/>
      </c>
      <c r="CQ99" s="14">
        <f>MAX(0,MIN(CP99,BY99*(1+M99-$B$19)))</f>
        <v/>
      </c>
      <c r="CR99" s="14">
        <f>MAX(0,MIN(CP99-CQ99,(CH99-CK99)+(CI99-CL99)))</f>
        <v/>
      </c>
      <c r="CS99" s="14">
        <f>IF((CH99-CK99)+(CI99-CL99)&gt;1,CR99*(CH99-CK99)/((CH99-CK99)+(CI99-CL99)),0)</f>
        <v/>
      </c>
      <c r="CT99" s="14">
        <f>CR99-CS99</f>
        <v/>
      </c>
      <c r="CU99" s="14">
        <f>MAX(0,MIN(CP99-CQ99-CR99,CF99*(1+M99)))</f>
        <v/>
      </c>
      <c r="CV99" s="14">
        <f>MAX(0,-CP99)</f>
        <v/>
      </c>
      <c r="CW99" s="14">
        <f>MIN(CV99,MAX(0,CM99))</f>
        <v/>
      </c>
      <c r="CX99" s="22">
        <f>IF(BY99&gt;0,MAX(0,1-BZ99/BY99),0)</f>
        <v/>
      </c>
      <c r="CY99" s="14">
        <f>CQ99*CX99</f>
        <v/>
      </c>
      <c r="CZ99" s="14">
        <f>BY99*(1+M99-$B$19)-CQ99+(CV99-CW99)</f>
        <v/>
      </c>
      <c r="DA99" s="14">
        <f>BZ99-(CQ99-CY99)+(CV99-CW99)</f>
        <v/>
      </c>
      <c r="DB99" s="14">
        <f>CB99*(1+M99)-CD99-CS99-CK99+Z99+AB99</f>
        <v/>
      </c>
      <c r="DC99" s="14">
        <f>CC99*(1+M99)-CE99-CT99-CL99+AA99+AC99</f>
        <v/>
      </c>
      <c r="DD99" s="14">
        <f>CF99*(1+M99)-CU99+CW99</f>
        <v/>
      </c>
      <c r="DE99" s="14">
        <f>CD99+CK99+CS99</f>
        <v/>
      </c>
      <c r="DF99" s="14">
        <f>CA99*household!$B$15*$B$20*(1+tax_tables!$B$17)</f>
        <v/>
      </c>
      <c r="DG99" s="14">
        <f>X99+BS99+BU99+BW99+DE99+DF99+CA99*household!$B$15*(1-$B$20)+(CY99+BO99)*household!$B$15*tax_tables!$B$18+(BP99+BM99+AK99)*household!$B$15-Z99</f>
        <v/>
      </c>
      <c r="DH99" s="14">
        <f>CE99+CL99+CT99</f>
        <v/>
      </c>
      <c r="DI99" s="14">
        <f>CA99*(1-household!$B$15)*$B$20*(1+tax_tables!$B$17)</f>
        <v/>
      </c>
      <c r="DJ99" s="14">
        <f>Y99+BT99+BV99+BX99+DH99+DI99+CA99*(1-household!$B$15)*(1-$B$20)+(CY99+BO99)*(1-household!$B$15)*tax_tables!$B$18+(BP99+BM99+AK99)*(1-household!$B$15)-AA99</f>
        <v/>
      </c>
      <c r="DK99" s="14">
        <f>IF((DG99&gt;=DJ99),MIN(0.5*(BW99+IF(B99&gt;=65,DE99,0)),MAX(0,(DG99-DJ99)/2)),MIN(0.5*(BX99+IF(C99&gt;=65,DH99,0)),MAX(0,(DJ99-DG99)/2)))</f>
        <v/>
      </c>
      <c r="DL99" s="14">
        <f>DG99+IF((DG99&gt;=DJ99),-DK99,DK99)</f>
        <v/>
      </c>
      <c r="DM99" s="14">
        <f>BW99+IF(B99&gt;=65,DE99,0)+IF((DG99&gt;=DJ99),-DK99,DK99)</f>
        <v/>
      </c>
      <c r="DN99" s="14">
        <f>MIN(BU99,tax_tables!$B$22*MAX(0,DL99-tax_tables!$B$21*P99))</f>
        <v/>
      </c>
      <c r="DO99" s="14">
        <f>MAX(0,DL99-DN99)</f>
        <v/>
      </c>
      <c r="DP99" s="14">
        <f>DJ99+IF((DG99&gt;=DJ99),DK99,-DK99)</f>
        <v/>
      </c>
      <c r="DQ99" s="14">
        <f>BX99+IF(C99&gt;=65,DH99,0)+IF((DG99&gt;=DJ99),DK99,-DK99)</f>
        <v/>
      </c>
      <c r="DR99" s="14">
        <f>MIN(BV99,tax_tables!$B$22*MAX(0,DP99-tax_tables!$B$21*P99))</f>
        <v/>
      </c>
      <c r="DS99" s="14">
        <f>MAX(0,DP99-DR99)</f>
        <v/>
      </c>
      <c r="DT99" s="14">
        <f>BJ99-BD99</f>
        <v/>
      </c>
      <c r="DU99" s="14">
        <f>(tax_tables!$B$6-(tax_tables!$B$6-tax_tables!$B$7)*MIN(1,MAX(0,(DL99-tax_tables!$B$8*P99)/((tax_tables!$B$9-tax_tables!$B$8)*P99))))*P99+(B99&gt;=65)*MAX(0,tax_tables!$B$10*P99-tax_tables!$B$12*MAX(0,DL99-tax_tables!$B$11*P99))+MIN(tax_tables!$B$13,DM99)+MIN(tax_tables!$B$14*P99,X99)+AF99+(DL99&lt;=DP99)*MAX(0,DT99-MIN(0.03*DL99,tax_tables!$B$15*P99))</f>
        <v/>
      </c>
      <c r="DV99" s="14">
        <f>MAX(0,SUMPRODUCT((DO99&gt;tax_tables!$E$5:$E$16*P99)*(DO99-tax_tables!$E$5:$E$16*P99)*tax_tables!$G$5:$G$16)-tax_tables!$B$5*DU99-tax_tables!$B$16*DF99)</f>
        <v/>
      </c>
      <c r="DW99" s="14">
        <f>tax_tables!$B$35*Q99+(B99&gt;=65)*MAX(0,tax_tables!$B$36*Q99-tax_tables!$B$12*MAX(0,DL99-tax_tables!$B$37*Q99))+MIN(tax_tables!$B$38,DM99)+AF99+(DL99&lt;=DP99)*MAX(0,DT99-MIN(0.03*DL99,tax_tables!$B$39*Q99))</f>
        <v/>
      </c>
      <c r="DX99" s="14">
        <f>MAX(0,SUMPRODUCT((DO99&gt;tax_tables!$I$5:$I$16*Q99)*(DO99-tax_tables!$I$5:$I$16*Q99)*tax_tables!$K$5:$K$16)-tax_tables!$B$34*DW99-tax_tables!$B$40*DF99-MAX(0,tax_tables!$B$41*Q99-tax_tables!$B$43*MAX(0,DL99-tax_tables!$B$42*Q99)))</f>
        <v/>
      </c>
      <c r="DY99" s="14">
        <f>(tax_tables!$B$6-(tax_tables!$B$6-tax_tables!$B$7)*MIN(1,MAX(0,(DP99-tax_tables!$B$8*P99)/((tax_tables!$B$9-tax_tables!$B$8)*P99))))*P99+(C99&gt;=65)*MAX(0,tax_tables!$B$10*P99-tax_tables!$B$12*MAX(0,DP99-tax_tables!$B$11*P99))+MIN(tax_tables!$B$13,DQ99)+MIN(tax_tables!$B$14*P99,Y99)+AG99+(DL99&gt;DP99)*MAX(0,DT99-MIN(0.03*DP99,tax_tables!$B$15*P99))</f>
        <v/>
      </c>
      <c r="DZ99" s="14">
        <f>MAX(0,SUMPRODUCT((DS99&gt;tax_tables!$E$5:$E$16*P99)*(DS99-tax_tables!$E$5:$E$16*P99)*tax_tables!$G$5:$G$16)-tax_tables!$B$5*DY99-tax_tables!$B$16*DI99)</f>
        <v/>
      </c>
      <c r="EA99" s="14">
        <f>tax_tables!$B$35*Q99+(C99&gt;=65)*MAX(0,tax_tables!$B$36*Q99-tax_tables!$B$12*MAX(0,DP99-tax_tables!$B$37*Q99))+MIN(tax_tables!$B$38,DQ99)+AG99+(DL99&gt;DP99)*MAX(0,DT99-MIN(0.03*DP99,tax_tables!$B$39*Q99))</f>
        <v/>
      </c>
      <c r="EB99" s="14">
        <f>MAX(0,SUMPRODUCT((DS99&gt;tax_tables!$I$5:$I$16*Q99)*(DS99-tax_tables!$I$5:$I$16*Q99)*tax_tables!$K$5:$K$16)-tax_tables!$B$34*EA99-tax_tables!$B$40*DI99-MAX(0,tax_tables!$B$41*Q99-tax_tables!$B$43*MAX(0,DP99-tax_tables!$B$42*Q99)))</f>
        <v/>
      </c>
      <c r="EC99" s="14">
        <f>DV99+DZ99+DX99+EB99+DN99+DR99</f>
        <v/>
      </c>
      <c r="ED99" s="14">
        <f>CZ99+DB99+DC99+DD99</f>
        <v/>
      </c>
      <c r="EE99" s="14">
        <f>ED99+BQ99-AR99+BR99</f>
        <v/>
      </c>
    </row>
    <row r="100">
      <c r="A100" s="21">
        <f>A99+1</f>
        <v/>
      </c>
      <c r="B100" s="21">
        <f>A100-household!$B$6</f>
        <v/>
      </c>
      <c r="C100" s="21">
        <f>A100-household!$B$9</f>
        <v/>
      </c>
      <c r="D100" s="14">
        <f>AU100+AV100+AW100+AX100+BB100+BJ100+AM100</f>
        <v/>
      </c>
      <c r="E100" s="14">
        <f>CN100+AI100+AH100</f>
        <v/>
      </c>
      <c r="F100" s="14">
        <f>BS100+BT100+BU100+BV100</f>
        <v/>
      </c>
      <c r="G100" s="14">
        <f>CQ100+CR100+CU100+CD100+CE100+CA100-CV100+CJ100+CW100</f>
        <v/>
      </c>
      <c r="H100" s="22">
        <f>IF(BY100+CB100+CC100+CF100&lt;=0,"",G100/(BY100+CB100+CC100+CF100))</f>
        <v/>
      </c>
      <c r="I100" s="23">
        <f>ED100/O100</f>
        <v/>
      </c>
      <c r="J100" s="23">
        <f>EE100/O100</f>
        <v/>
      </c>
      <c r="K100" s="14">
        <f>MAX(0,CP100-CQ100-CR100-CU100)</f>
        <v/>
      </c>
      <c r="L100" s="10" t="n"/>
      <c r="M100" s="22">
        <f>IF(L100="",$B$18,L100)</f>
        <v/>
      </c>
      <c r="N100" s="13" t="n"/>
      <c r="O100" s="12">
        <f>(1+$B$17)^(A100-household!$B$4+1)</f>
        <v/>
      </c>
      <c r="P100" s="12">
        <f>(1+$B$17)^(A100-tax_tables!$B$4)</f>
        <v/>
      </c>
      <c r="Q100" s="12">
        <f>(1+$B$17)^(A100-tax_tables!$B$4-MAX(0,MIN(A100,tax_tables!$B$45)-tax_tables!$B$44+1))</f>
        <v/>
      </c>
      <c r="R100" s="12">
        <f>(1+$B$21)^(A100-household!$B$4+1)</f>
        <v/>
      </c>
      <c r="S100" s="12">
        <f>(1+$B$22)^(A100-household!$B$4+1)</f>
        <v/>
      </c>
      <c r="T100" s="12">
        <f>(1+$B$23)^(A100-household!$B$4+1)</f>
        <v/>
      </c>
      <c r="U100" s="21">
        <f>IF(A100&lt;$B$5,1,0)</f>
        <v/>
      </c>
      <c r="V100" s="21">
        <f>IF(A100&lt;$B$6,1,0)</f>
        <v/>
      </c>
      <c r="W100" s="21">
        <f>IF(U100+V100&gt;0,1,0)</f>
        <v/>
      </c>
      <c r="X100" s="14">
        <f>U100*$B$7*O100+SUMPRODUCT(($B$72:$B$77=A100)*($D$72:$D$77="Wages: person 1")*$C$72:$C$77)*O100</f>
        <v/>
      </c>
      <c r="Y100" s="14">
        <f>V100*$B$8*O100+SUMPRODUCT(($B$72:$B$77=A100)*($D$72:$D$77="Wages: person 2")*$C$72:$C$77)*O100</f>
        <v/>
      </c>
      <c r="Z100" s="14">
        <f>U100*$B$9*O100</f>
        <v/>
      </c>
      <c r="AA100" s="14">
        <f>V100*$B$10*O100</f>
        <v/>
      </c>
      <c r="AB100" s="14">
        <f>U100*$B$11*O100</f>
        <v/>
      </c>
      <c r="AC100" s="14">
        <f>V100*$B$12*O100</f>
        <v/>
      </c>
      <c r="AD100" s="14">
        <f>X100+Y100</f>
        <v/>
      </c>
      <c r="AE100" s="14">
        <f>AD100-Z100-AA100</f>
        <v/>
      </c>
      <c r="AF100" s="14">
        <f>tax_tables!$B$25*MAX(0,MIN(X100,tax_tables!$B$27*P100)-tax_tables!$B$26)+tax_tables!$B$28*MAX(0,MIN(X100,tax_tables!$B$29*P100)-tax_tables!$B$27*P100)+tax_tables!$B$30*MIN(X100,tax_tables!$B$31*P100)</f>
        <v/>
      </c>
      <c r="AG100" s="14">
        <f>tax_tables!$B$25*MAX(0,MIN(Y100,tax_tables!$B$27*P100)-tax_tables!$B$26)+tax_tables!$B$28*MAX(0,MIN(Y100,tax_tables!$B$29*P100)-tax_tables!$B$27*P100)+tax_tables!$B$30*MIN(Y100,tax_tables!$B$31*P100)</f>
        <v/>
      </c>
      <c r="AH100" s="14">
        <f>AF100+AG100</f>
        <v/>
      </c>
      <c r="AI100" s="14">
        <f>$B$13*AE100</f>
        <v/>
      </c>
      <c r="AJ100" s="14">
        <f>AD100-Z100-AA100-AH100-AI100</f>
        <v/>
      </c>
      <c r="AK100" s="14">
        <f>SUMPRODUCT(($B$72:$B$77=A100)*($D$72:$D$77="Other taxable income")*$C$72:$C$77)*O100</f>
        <v/>
      </c>
      <c r="AL100" s="14">
        <f>SUMPRODUCT(($B$72:$B$77=A100)*($D$72:$D$77="Tax-free money in")*$C$72:$C$77)*O100</f>
        <v/>
      </c>
      <c r="AM100" s="14">
        <f>SUMPRODUCT(($B$72:$B$77=A100)*($D$72:$D$77="Expense")*$C$72:$C$77)*O100</f>
        <v/>
      </c>
      <c r="AN100" s="21">
        <f>IF(OR($B$64="",A100&lt;$B$64),1,0)</f>
        <v/>
      </c>
      <c r="AO100" s="14">
        <f>AR99</f>
        <v/>
      </c>
      <c r="AP100" s="14">
        <f>AN100*AO100*properties!$J$2</f>
        <v/>
      </c>
      <c r="AQ100" s="14">
        <f>AN100*MIN(properties!$K$2,AO100+AP100)</f>
        <v/>
      </c>
      <c r="AR100" s="14">
        <f>AN100*(AO100+AP100-AQ100)</f>
        <v/>
      </c>
      <c r="AS100" s="14">
        <f>AN100*properties!$G$2*O100</f>
        <v/>
      </c>
      <c r="AT100" s="14">
        <f>(1-AN100)*$E$64*O100</f>
        <v/>
      </c>
      <c r="AU100" s="14">
        <f>AQ100+AS100+AT100</f>
        <v/>
      </c>
      <c r="AV100" s="14">
        <f>SUMIF(budget!$A$2:$A$300,"household",budget!$F$2:$F$300)*O100*IF(N100="",1,N100)</f>
        <v/>
      </c>
      <c r="AW100" s="14">
        <f>SUMPRODUCT((other_budget!$C$2:$C$30&lt;=A100)*(other_budget!$D$2:$D$30&gt;=A100)*other_budget!$B$2:$B$30)*O100</f>
        <v/>
      </c>
      <c r="AX100" s="14">
        <f>SUMPRODUCT((kids_budget!$D$2:$D$40&lt;=A100)*(kids_budget!$E$2:$E$40&gt;=A100)*(kids_budget!$G$2:$G$40&lt;&gt;"college_funds")*kids_budget!$C$2:$C$40*((kids_budget!$F$2:$F$40="college")*S100+(kids_budget!$F$2:$F$40&lt;&gt;"college")*O100))</f>
        <v/>
      </c>
      <c r="AY100" s="14">
        <f>SUMPRODUCT((kids_budget!$D$2:$D$40&lt;=A100)*(kids_budget!$E$2:$E$40&gt;=A100)*(kids_budget!$G$2:$G$40="college_funds")*kids_budget!$C$2:$C$40*((kids_budget!$F$2:$F$40="college")*S100+(kids_budget!$F$2:$F$40&lt;&gt;"college")*O100))</f>
        <v/>
      </c>
      <c r="AZ100" s="14">
        <f>BC99</f>
        <v/>
      </c>
      <c r="BA100" s="14">
        <f>MIN(AY100,AZ100*(1+M100))</f>
        <v/>
      </c>
      <c r="BB100" s="14">
        <f>AY100-BA100</f>
        <v/>
      </c>
      <c r="BC100" s="14">
        <f>AZ100*(1+M100)-BA100</f>
        <v/>
      </c>
      <c r="BD100" s="14">
        <f>W100*healthcare!$B$2*R100</f>
        <v/>
      </c>
      <c r="BE100" s="21">
        <f>(1-W100)*2</f>
        <v/>
      </c>
      <c r="BF100" s="14">
        <f>BE100*healthcare!$B$3*12*R100</f>
        <v/>
      </c>
      <c r="BG100" s="14">
        <f>BE100*healthcare!$B$4*R100</f>
        <v/>
      </c>
      <c r="BH100" s="21">
        <f>AND(B100&gt;=$B$44,B100&lt;$B$44+$B$45)*1+AND(C100&gt;=$B$46,C100&lt;$B$46+$B$47)*1</f>
        <v/>
      </c>
      <c r="BI100" s="14">
        <f>BH100*$B$48*T100</f>
        <v/>
      </c>
      <c r="BJ100" s="14">
        <f>BD100+BF100+BG100+BI100</f>
        <v/>
      </c>
      <c r="BK100" s="14">
        <f>SUMPRODUCT((1-($B$65:$B$68&gt;0)*(A100&gt;=$B$65:$B$68))*(1-(($C$65:$C$68&gt;0)*(A100&gt;=$C$65:$C$68)))*(properties!$L$3:$L$6-properties!$M$3:$M$6))*O100+SUMPRODUCT((1-($B$65:$B$68&gt;0)*(A100&gt;=$B$65:$B$68))*(($C$65:$C$68&gt;0)*(A100&gt;=$C$65:$C$68))*($D$65:$D$68-$E$65:$E$68))*O100</f>
        <v/>
      </c>
      <c r="BL100" s="14">
        <f>SUMPRODUCT((1-($B$65:$B$68&gt;0)*(A100&gt;=$B$65:$B$68))*properties!$N$3:$N$6*(A100&lt;=properties!$O$3:$O$6))</f>
        <v/>
      </c>
      <c r="BM100" s="14">
        <f>MAX(0,BK100-BL100)</f>
        <v/>
      </c>
      <c r="BN100" s="14">
        <f>SUMPRODUCT(($B$64:$B$68=A100)*$G$64:$G$68)</f>
        <v/>
      </c>
      <c r="BO100" s="14">
        <f>SUMPRODUCT(($B$64:$B$68=A100)*$H$64:$H$68)</f>
        <v/>
      </c>
      <c r="BP100" s="14">
        <f>SUMPRODUCT(($B$64:$B$68=A100)*$I$64:$I$68)</f>
        <v/>
      </c>
      <c r="BQ100" s="14">
        <f>AN100*properties!$C$2*(1+properties!$D$2)^(A100-household!$B$4+1)</f>
        <v/>
      </c>
      <c r="BR100" s="14">
        <f>SUMPRODUCT((1-($B$65:$B$68&gt;0)*(A100&gt;=$B$65:$B$68))*properties!$C$3:$C$6*(1+properties!$D$3:$D$6)^(A100-household!$B$4+1))</f>
        <v/>
      </c>
      <c r="BS100" s="14">
        <f>IF(A100&gt;=household!$B$6+$B$26,household!$B$11*12*$B$30*O100,0)</f>
        <v/>
      </c>
      <c r="BT100" s="14">
        <f>IF(A100&gt;=household!$B$9+$B$27,household!$B$12*12*$B$31*O100,0)</f>
        <v/>
      </c>
      <c r="BU100" s="14">
        <f>IF(A100&gt;=household!$B$6+$B$28,tax_tables!$B$19*12*P100*MIN(1,household!$B$13/40)*$B$32*(1+tax_tables!$B$20*(B100&gt;=75)),0)</f>
        <v/>
      </c>
      <c r="BV100" s="14">
        <f>IF(A100&gt;=household!$B$9+$B$29,tax_tables!$B$19*12*P100*MIN(1,household!$B$14/40)*$B$33*(1+tax_tables!$B$20*(C100&gt;=75)),0)</f>
        <v/>
      </c>
      <c r="BW100" s="14">
        <f>IF(AND($B$36&lt;&gt;0,A100&gt;=household!$B$6+$B$37),$B$36*(1+$B$17)^(MAX(household!$B$6+$B$37,household!$B$4-1)-household!$B$4+1)*(1+$B$40*$B$17)^(A100-MAX(household!$B$6+$B$37,household!$B$4-1)),0)</f>
        <v/>
      </c>
      <c r="BX100" s="14">
        <f>IF(AND($B$38&lt;&gt;0,A100&gt;=household!$B$9+$B$39),$B$38*(1+$B$17)^(MAX(household!$B$9+$B$39,household!$B$4-1)-household!$B$4+1)*(1+$B$40*$B$17)^(A100-MAX(household!$B$9+$B$39,household!$B$4-1)),0)</f>
        <v/>
      </c>
      <c r="BY100" s="14">
        <f>CZ99</f>
        <v/>
      </c>
      <c r="BZ100" s="14">
        <f>DA99</f>
        <v/>
      </c>
      <c r="CA100" s="14">
        <f>$B$19*BY100</f>
        <v/>
      </c>
      <c r="CB100" s="14">
        <f>DB99</f>
        <v/>
      </c>
      <c r="CC100" s="14">
        <f>DC99</f>
        <v/>
      </c>
      <c r="CD100" s="14">
        <f>IF(B100&gt;=tax_tables!$B$46,MAX(0,CB100)*INDEX(tax_tables!$N$5:$N$54,MATCH(MIN(B100-1,120),tax_tables!$M$5:$M$54,0)),0)</f>
        <v/>
      </c>
      <c r="CE100" s="14">
        <f>IF(C100&gt;=tax_tables!$B$46,MAX(0,CC100)*INDEX(tax_tables!$N$5:$N$54,MATCH(MIN(C100-1,120),tax_tables!$M$5:$M$54,0)),0)</f>
        <v/>
      </c>
      <c r="CF100" s="14">
        <f>DD99</f>
        <v/>
      </c>
      <c r="CG100" s="14">
        <f>IF(OR($B$52="",$B$53=""),0,IF(AND(A100&gt;=$B$52,A100&lt;=$B$53),$B$51*O100,0))</f>
        <v/>
      </c>
      <c r="CH100" s="14">
        <f>MAX(0,CB100*(1+M100)-CD100)</f>
        <v/>
      </c>
      <c r="CI100" s="14">
        <f>MAX(0,CC100*(1+M100)-CE100)</f>
        <v/>
      </c>
      <c r="CJ100" s="14">
        <f>MIN(CG100,CH100+CI100)</f>
        <v/>
      </c>
      <c r="CK100" s="14">
        <f>IF(CH100+CI100&gt;1,CJ100*CH100/(CH100+CI100),0)</f>
        <v/>
      </c>
      <c r="CL100" s="14">
        <f>CJ100-CK100</f>
        <v/>
      </c>
      <c r="CM100" s="14">
        <f>CM99-CW99+CU99+tax_tables!$B$32*P100*2</f>
        <v/>
      </c>
      <c r="CN100" s="14">
        <f>EC99-AI99</f>
        <v/>
      </c>
      <c r="CO100" s="14">
        <f>AJ100+F100+BW100+BX100+BK100+CA100+CD100+CE100+BN100+AK100+AL100+CJ100</f>
        <v/>
      </c>
      <c r="CP100" s="14">
        <f>D100+CN100-CO100</f>
        <v/>
      </c>
      <c r="CQ100" s="14">
        <f>MAX(0,MIN(CP100,BY100*(1+M100-$B$19)))</f>
        <v/>
      </c>
      <c r="CR100" s="14">
        <f>MAX(0,MIN(CP100-CQ100,(CH100-CK100)+(CI100-CL100)))</f>
        <v/>
      </c>
      <c r="CS100" s="14">
        <f>IF((CH100-CK100)+(CI100-CL100)&gt;1,CR100*(CH100-CK100)/((CH100-CK100)+(CI100-CL100)),0)</f>
        <v/>
      </c>
      <c r="CT100" s="14">
        <f>CR100-CS100</f>
        <v/>
      </c>
      <c r="CU100" s="14">
        <f>MAX(0,MIN(CP100-CQ100-CR100,CF100*(1+M100)))</f>
        <v/>
      </c>
      <c r="CV100" s="14">
        <f>MAX(0,-CP100)</f>
        <v/>
      </c>
      <c r="CW100" s="14">
        <f>MIN(CV100,MAX(0,CM100))</f>
        <v/>
      </c>
      <c r="CX100" s="22">
        <f>IF(BY100&gt;0,MAX(0,1-BZ100/BY100),0)</f>
        <v/>
      </c>
      <c r="CY100" s="14">
        <f>CQ100*CX100</f>
        <v/>
      </c>
      <c r="CZ100" s="14">
        <f>BY100*(1+M100-$B$19)-CQ100+(CV100-CW100)</f>
        <v/>
      </c>
      <c r="DA100" s="14">
        <f>BZ100-(CQ100-CY100)+(CV100-CW100)</f>
        <v/>
      </c>
      <c r="DB100" s="14">
        <f>CB100*(1+M100)-CD100-CS100-CK100+Z100+AB100</f>
        <v/>
      </c>
      <c r="DC100" s="14">
        <f>CC100*(1+M100)-CE100-CT100-CL100+AA100+AC100</f>
        <v/>
      </c>
      <c r="DD100" s="14">
        <f>CF100*(1+M100)-CU100+CW100</f>
        <v/>
      </c>
      <c r="DE100" s="14">
        <f>CD100+CK100+CS100</f>
        <v/>
      </c>
      <c r="DF100" s="14">
        <f>CA100*household!$B$15*$B$20*(1+tax_tables!$B$17)</f>
        <v/>
      </c>
      <c r="DG100" s="14">
        <f>X100+BS100+BU100+BW100+DE100+DF100+CA100*household!$B$15*(1-$B$20)+(CY100+BO100)*household!$B$15*tax_tables!$B$18+(BP100+BM100+AK100)*household!$B$15-Z100</f>
        <v/>
      </c>
      <c r="DH100" s="14">
        <f>CE100+CL100+CT100</f>
        <v/>
      </c>
      <c r="DI100" s="14">
        <f>CA100*(1-household!$B$15)*$B$20*(1+tax_tables!$B$17)</f>
        <v/>
      </c>
      <c r="DJ100" s="14">
        <f>Y100+BT100+BV100+BX100+DH100+DI100+CA100*(1-household!$B$15)*(1-$B$20)+(CY100+BO100)*(1-household!$B$15)*tax_tables!$B$18+(BP100+BM100+AK100)*(1-household!$B$15)-AA100</f>
        <v/>
      </c>
      <c r="DK100" s="14">
        <f>IF((DG100&gt;=DJ100),MIN(0.5*(BW100+IF(B100&gt;=65,DE100,0)),MAX(0,(DG100-DJ100)/2)),MIN(0.5*(BX100+IF(C100&gt;=65,DH100,0)),MAX(0,(DJ100-DG100)/2)))</f>
        <v/>
      </c>
      <c r="DL100" s="14">
        <f>DG100+IF((DG100&gt;=DJ100),-DK100,DK100)</f>
        <v/>
      </c>
      <c r="DM100" s="14">
        <f>BW100+IF(B100&gt;=65,DE100,0)+IF((DG100&gt;=DJ100),-DK100,DK100)</f>
        <v/>
      </c>
      <c r="DN100" s="14">
        <f>MIN(BU100,tax_tables!$B$22*MAX(0,DL100-tax_tables!$B$21*P100))</f>
        <v/>
      </c>
      <c r="DO100" s="14">
        <f>MAX(0,DL100-DN100)</f>
        <v/>
      </c>
      <c r="DP100" s="14">
        <f>DJ100+IF((DG100&gt;=DJ100),DK100,-DK100)</f>
        <v/>
      </c>
      <c r="DQ100" s="14">
        <f>BX100+IF(C100&gt;=65,DH100,0)+IF((DG100&gt;=DJ100),DK100,-DK100)</f>
        <v/>
      </c>
      <c r="DR100" s="14">
        <f>MIN(BV100,tax_tables!$B$22*MAX(0,DP100-tax_tables!$B$21*P100))</f>
        <v/>
      </c>
      <c r="DS100" s="14">
        <f>MAX(0,DP100-DR100)</f>
        <v/>
      </c>
      <c r="DT100" s="14">
        <f>BJ100-BD100</f>
        <v/>
      </c>
      <c r="DU100" s="14">
        <f>(tax_tables!$B$6-(tax_tables!$B$6-tax_tables!$B$7)*MIN(1,MAX(0,(DL100-tax_tables!$B$8*P100)/((tax_tables!$B$9-tax_tables!$B$8)*P100))))*P100+(B100&gt;=65)*MAX(0,tax_tables!$B$10*P100-tax_tables!$B$12*MAX(0,DL100-tax_tables!$B$11*P100))+MIN(tax_tables!$B$13,DM100)+MIN(tax_tables!$B$14*P100,X100)+AF100+(DL100&lt;=DP100)*MAX(0,DT100-MIN(0.03*DL100,tax_tables!$B$15*P100))</f>
        <v/>
      </c>
      <c r="DV100" s="14">
        <f>MAX(0,SUMPRODUCT((DO100&gt;tax_tables!$E$5:$E$16*P100)*(DO100-tax_tables!$E$5:$E$16*P100)*tax_tables!$G$5:$G$16)-tax_tables!$B$5*DU100-tax_tables!$B$16*DF100)</f>
        <v/>
      </c>
      <c r="DW100" s="14">
        <f>tax_tables!$B$35*Q100+(B100&gt;=65)*MAX(0,tax_tables!$B$36*Q100-tax_tables!$B$12*MAX(0,DL100-tax_tables!$B$37*Q100))+MIN(tax_tables!$B$38,DM100)+AF100+(DL100&lt;=DP100)*MAX(0,DT100-MIN(0.03*DL100,tax_tables!$B$39*Q100))</f>
        <v/>
      </c>
      <c r="DX100" s="14">
        <f>MAX(0,SUMPRODUCT((DO100&gt;tax_tables!$I$5:$I$16*Q100)*(DO100-tax_tables!$I$5:$I$16*Q100)*tax_tables!$K$5:$K$16)-tax_tables!$B$34*DW100-tax_tables!$B$40*DF100-MAX(0,tax_tables!$B$41*Q100-tax_tables!$B$43*MAX(0,DL100-tax_tables!$B$42*Q100)))</f>
        <v/>
      </c>
      <c r="DY100" s="14">
        <f>(tax_tables!$B$6-(tax_tables!$B$6-tax_tables!$B$7)*MIN(1,MAX(0,(DP100-tax_tables!$B$8*P100)/((tax_tables!$B$9-tax_tables!$B$8)*P100))))*P100+(C100&gt;=65)*MAX(0,tax_tables!$B$10*P100-tax_tables!$B$12*MAX(0,DP100-tax_tables!$B$11*P100))+MIN(tax_tables!$B$13,DQ100)+MIN(tax_tables!$B$14*P100,Y100)+AG100+(DL100&gt;DP100)*MAX(0,DT100-MIN(0.03*DP100,tax_tables!$B$15*P100))</f>
        <v/>
      </c>
      <c r="DZ100" s="14">
        <f>MAX(0,SUMPRODUCT((DS100&gt;tax_tables!$E$5:$E$16*P100)*(DS100-tax_tables!$E$5:$E$16*P100)*tax_tables!$G$5:$G$16)-tax_tables!$B$5*DY100-tax_tables!$B$16*DI100)</f>
        <v/>
      </c>
      <c r="EA100" s="14">
        <f>tax_tables!$B$35*Q100+(C100&gt;=65)*MAX(0,tax_tables!$B$36*Q100-tax_tables!$B$12*MAX(0,DP100-tax_tables!$B$37*Q100))+MIN(tax_tables!$B$38,DQ100)+AG100+(DL100&gt;DP100)*MAX(0,DT100-MIN(0.03*DP100,tax_tables!$B$39*Q100))</f>
        <v/>
      </c>
      <c r="EB100" s="14">
        <f>MAX(0,SUMPRODUCT((DS100&gt;tax_tables!$I$5:$I$16*Q100)*(DS100-tax_tables!$I$5:$I$16*Q100)*tax_tables!$K$5:$K$16)-tax_tables!$B$34*EA100-tax_tables!$B$40*DI100-MAX(0,tax_tables!$B$41*Q100-tax_tables!$B$43*MAX(0,DP100-tax_tables!$B$42*Q100)))</f>
        <v/>
      </c>
      <c r="EC100" s="14">
        <f>DV100+DZ100+DX100+EB100+DN100+DR100</f>
        <v/>
      </c>
      <c r="ED100" s="14">
        <f>CZ100+DB100+DC100+DD100</f>
        <v/>
      </c>
      <c r="EE100" s="14">
        <f>ED100+BQ100-AR100+BR100</f>
        <v/>
      </c>
    </row>
    <row r="101">
      <c r="A101" s="21">
        <f>A100+1</f>
        <v/>
      </c>
      <c r="B101" s="21">
        <f>A101-household!$B$6</f>
        <v/>
      </c>
      <c r="C101" s="21">
        <f>A101-household!$B$9</f>
        <v/>
      </c>
      <c r="D101" s="14">
        <f>AU101+AV101+AW101+AX101+BB101+BJ101+AM101</f>
        <v/>
      </c>
      <c r="E101" s="14">
        <f>CN101+AI101+AH101</f>
        <v/>
      </c>
      <c r="F101" s="14">
        <f>BS101+BT101+BU101+BV101</f>
        <v/>
      </c>
      <c r="G101" s="14">
        <f>CQ101+CR101+CU101+CD101+CE101+CA101-CV101+CJ101+CW101</f>
        <v/>
      </c>
      <c r="H101" s="22">
        <f>IF(BY101+CB101+CC101+CF101&lt;=0,"",G101/(BY101+CB101+CC101+CF101))</f>
        <v/>
      </c>
      <c r="I101" s="23">
        <f>ED101/O101</f>
        <v/>
      </c>
      <c r="J101" s="23">
        <f>EE101/O101</f>
        <v/>
      </c>
      <c r="K101" s="14">
        <f>MAX(0,CP101-CQ101-CR101-CU101)</f>
        <v/>
      </c>
      <c r="L101" s="10" t="n"/>
      <c r="M101" s="22">
        <f>IF(L101="",$B$18,L101)</f>
        <v/>
      </c>
      <c r="N101" s="13" t="n"/>
      <c r="O101" s="12">
        <f>(1+$B$17)^(A101-household!$B$4+1)</f>
        <v/>
      </c>
      <c r="P101" s="12">
        <f>(1+$B$17)^(A101-tax_tables!$B$4)</f>
        <v/>
      </c>
      <c r="Q101" s="12">
        <f>(1+$B$17)^(A101-tax_tables!$B$4-MAX(0,MIN(A101,tax_tables!$B$45)-tax_tables!$B$44+1))</f>
        <v/>
      </c>
      <c r="R101" s="12">
        <f>(1+$B$21)^(A101-household!$B$4+1)</f>
        <v/>
      </c>
      <c r="S101" s="12">
        <f>(1+$B$22)^(A101-household!$B$4+1)</f>
        <v/>
      </c>
      <c r="T101" s="12">
        <f>(1+$B$23)^(A101-household!$B$4+1)</f>
        <v/>
      </c>
      <c r="U101" s="21">
        <f>IF(A101&lt;$B$5,1,0)</f>
        <v/>
      </c>
      <c r="V101" s="21">
        <f>IF(A101&lt;$B$6,1,0)</f>
        <v/>
      </c>
      <c r="W101" s="21">
        <f>IF(U101+V101&gt;0,1,0)</f>
        <v/>
      </c>
      <c r="X101" s="14">
        <f>U101*$B$7*O101+SUMPRODUCT(($B$72:$B$77=A101)*($D$72:$D$77="Wages: person 1")*$C$72:$C$77)*O101</f>
        <v/>
      </c>
      <c r="Y101" s="14">
        <f>V101*$B$8*O101+SUMPRODUCT(($B$72:$B$77=A101)*($D$72:$D$77="Wages: person 2")*$C$72:$C$77)*O101</f>
        <v/>
      </c>
      <c r="Z101" s="14">
        <f>U101*$B$9*O101</f>
        <v/>
      </c>
      <c r="AA101" s="14">
        <f>V101*$B$10*O101</f>
        <v/>
      </c>
      <c r="AB101" s="14">
        <f>U101*$B$11*O101</f>
        <v/>
      </c>
      <c r="AC101" s="14">
        <f>V101*$B$12*O101</f>
        <v/>
      </c>
      <c r="AD101" s="14">
        <f>X101+Y101</f>
        <v/>
      </c>
      <c r="AE101" s="14">
        <f>AD101-Z101-AA101</f>
        <v/>
      </c>
      <c r="AF101" s="14">
        <f>tax_tables!$B$25*MAX(0,MIN(X101,tax_tables!$B$27*P101)-tax_tables!$B$26)+tax_tables!$B$28*MAX(0,MIN(X101,tax_tables!$B$29*P101)-tax_tables!$B$27*P101)+tax_tables!$B$30*MIN(X101,tax_tables!$B$31*P101)</f>
        <v/>
      </c>
      <c r="AG101" s="14">
        <f>tax_tables!$B$25*MAX(0,MIN(Y101,tax_tables!$B$27*P101)-tax_tables!$B$26)+tax_tables!$B$28*MAX(0,MIN(Y101,tax_tables!$B$29*P101)-tax_tables!$B$27*P101)+tax_tables!$B$30*MIN(Y101,tax_tables!$B$31*P101)</f>
        <v/>
      </c>
      <c r="AH101" s="14">
        <f>AF101+AG101</f>
        <v/>
      </c>
      <c r="AI101" s="14">
        <f>$B$13*AE101</f>
        <v/>
      </c>
      <c r="AJ101" s="14">
        <f>AD101-Z101-AA101-AH101-AI101</f>
        <v/>
      </c>
      <c r="AK101" s="14">
        <f>SUMPRODUCT(($B$72:$B$77=A101)*($D$72:$D$77="Other taxable income")*$C$72:$C$77)*O101</f>
        <v/>
      </c>
      <c r="AL101" s="14">
        <f>SUMPRODUCT(($B$72:$B$77=A101)*($D$72:$D$77="Tax-free money in")*$C$72:$C$77)*O101</f>
        <v/>
      </c>
      <c r="AM101" s="14">
        <f>SUMPRODUCT(($B$72:$B$77=A101)*($D$72:$D$77="Expense")*$C$72:$C$77)*O101</f>
        <v/>
      </c>
      <c r="AN101" s="21">
        <f>IF(OR($B$64="",A101&lt;$B$64),1,0)</f>
        <v/>
      </c>
      <c r="AO101" s="14">
        <f>AR100</f>
        <v/>
      </c>
      <c r="AP101" s="14">
        <f>AN101*AO101*properties!$J$2</f>
        <v/>
      </c>
      <c r="AQ101" s="14">
        <f>AN101*MIN(properties!$K$2,AO101+AP101)</f>
        <v/>
      </c>
      <c r="AR101" s="14">
        <f>AN101*(AO101+AP101-AQ101)</f>
        <v/>
      </c>
      <c r="AS101" s="14">
        <f>AN101*properties!$G$2*O101</f>
        <v/>
      </c>
      <c r="AT101" s="14">
        <f>(1-AN101)*$E$64*O101</f>
        <v/>
      </c>
      <c r="AU101" s="14">
        <f>AQ101+AS101+AT101</f>
        <v/>
      </c>
      <c r="AV101" s="14">
        <f>SUMIF(budget!$A$2:$A$300,"household",budget!$F$2:$F$300)*O101*IF(N101="",1,N101)</f>
        <v/>
      </c>
      <c r="AW101" s="14">
        <f>SUMPRODUCT((other_budget!$C$2:$C$30&lt;=A101)*(other_budget!$D$2:$D$30&gt;=A101)*other_budget!$B$2:$B$30)*O101</f>
        <v/>
      </c>
      <c r="AX101" s="14">
        <f>SUMPRODUCT((kids_budget!$D$2:$D$40&lt;=A101)*(kids_budget!$E$2:$E$40&gt;=A101)*(kids_budget!$G$2:$G$40&lt;&gt;"college_funds")*kids_budget!$C$2:$C$40*((kids_budget!$F$2:$F$40="college")*S101+(kids_budget!$F$2:$F$40&lt;&gt;"college")*O101))</f>
        <v/>
      </c>
      <c r="AY101" s="14">
        <f>SUMPRODUCT((kids_budget!$D$2:$D$40&lt;=A101)*(kids_budget!$E$2:$E$40&gt;=A101)*(kids_budget!$G$2:$G$40="college_funds")*kids_budget!$C$2:$C$40*((kids_budget!$F$2:$F$40="college")*S101+(kids_budget!$F$2:$F$40&lt;&gt;"college")*O101))</f>
        <v/>
      </c>
      <c r="AZ101" s="14">
        <f>BC100</f>
        <v/>
      </c>
      <c r="BA101" s="14">
        <f>MIN(AY101,AZ101*(1+M101))</f>
        <v/>
      </c>
      <c r="BB101" s="14">
        <f>AY101-BA101</f>
        <v/>
      </c>
      <c r="BC101" s="14">
        <f>AZ101*(1+M101)-BA101</f>
        <v/>
      </c>
      <c r="BD101" s="14">
        <f>W101*healthcare!$B$2*R101</f>
        <v/>
      </c>
      <c r="BE101" s="21">
        <f>(1-W101)*2</f>
        <v/>
      </c>
      <c r="BF101" s="14">
        <f>BE101*healthcare!$B$3*12*R101</f>
        <v/>
      </c>
      <c r="BG101" s="14">
        <f>BE101*healthcare!$B$4*R101</f>
        <v/>
      </c>
      <c r="BH101" s="21">
        <f>AND(B101&gt;=$B$44,B101&lt;$B$44+$B$45)*1+AND(C101&gt;=$B$46,C101&lt;$B$46+$B$47)*1</f>
        <v/>
      </c>
      <c r="BI101" s="14">
        <f>BH101*$B$48*T101</f>
        <v/>
      </c>
      <c r="BJ101" s="14">
        <f>BD101+BF101+BG101+BI101</f>
        <v/>
      </c>
      <c r="BK101" s="14">
        <f>SUMPRODUCT((1-($B$65:$B$68&gt;0)*(A101&gt;=$B$65:$B$68))*(1-(($C$65:$C$68&gt;0)*(A101&gt;=$C$65:$C$68)))*(properties!$L$3:$L$6-properties!$M$3:$M$6))*O101+SUMPRODUCT((1-($B$65:$B$68&gt;0)*(A101&gt;=$B$65:$B$68))*(($C$65:$C$68&gt;0)*(A101&gt;=$C$65:$C$68))*($D$65:$D$68-$E$65:$E$68))*O101</f>
        <v/>
      </c>
      <c r="BL101" s="14">
        <f>SUMPRODUCT((1-($B$65:$B$68&gt;0)*(A101&gt;=$B$65:$B$68))*properties!$N$3:$N$6*(A101&lt;=properties!$O$3:$O$6))</f>
        <v/>
      </c>
      <c r="BM101" s="14">
        <f>MAX(0,BK101-BL101)</f>
        <v/>
      </c>
      <c r="BN101" s="14">
        <f>SUMPRODUCT(($B$64:$B$68=A101)*$G$64:$G$68)</f>
        <v/>
      </c>
      <c r="BO101" s="14">
        <f>SUMPRODUCT(($B$64:$B$68=A101)*$H$64:$H$68)</f>
        <v/>
      </c>
      <c r="BP101" s="14">
        <f>SUMPRODUCT(($B$64:$B$68=A101)*$I$64:$I$68)</f>
        <v/>
      </c>
      <c r="BQ101" s="14">
        <f>AN101*properties!$C$2*(1+properties!$D$2)^(A101-household!$B$4+1)</f>
        <v/>
      </c>
      <c r="BR101" s="14">
        <f>SUMPRODUCT((1-($B$65:$B$68&gt;0)*(A101&gt;=$B$65:$B$68))*properties!$C$3:$C$6*(1+properties!$D$3:$D$6)^(A101-household!$B$4+1))</f>
        <v/>
      </c>
      <c r="BS101" s="14">
        <f>IF(A101&gt;=household!$B$6+$B$26,household!$B$11*12*$B$30*O101,0)</f>
        <v/>
      </c>
      <c r="BT101" s="14">
        <f>IF(A101&gt;=household!$B$9+$B$27,household!$B$12*12*$B$31*O101,0)</f>
        <v/>
      </c>
      <c r="BU101" s="14">
        <f>IF(A101&gt;=household!$B$6+$B$28,tax_tables!$B$19*12*P101*MIN(1,household!$B$13/40)*$B$32*(1+tax_tables!$B$20*(B101&gt;=75)),0)</f>
        <v/>
      </c>
      <c r="BV101" s="14">
        <f>IF(A101&gt;=household!$B$9+$B$29,tax_tables!$B$19*12*P101*MIN(1,household!$B$14/40)*$B$33*(1+tax_tables!$B$20*(C101&gt;=75)),0)</f>
        <v/>
      </c>
      <c r="BW101" s="14">
        <f>IF(AND($B$36&lt;&gt;0,A101&gt;=household!$B$6+$B$37),$B$36*(1+$B$17)^(MAX(household!$B$6+$B$37,household!$B$4-1)-household!$B$4+1)*(1+$B$40*$B$17)^(A101-MAX(household!$B$6+$B$37,household!$B$4-1)),0)</f>
        <v/>
      </c>
      <c r="BX101" s="14">
        <f>IF(AND($B$38&lt;&gt;0,A101&gt;=household!$B$9+$B$39),$B$38*(1+$B$17)^(MAX(household!$B$9+$B$39,household!$B$4-1)-household!$B$4+1)*(1+$B$40*$B$17)^(A101-MAX(household!$B$9+$B$39,household!$B$4-1)),0)</f>
        <v/>
      </c>
      <c r="BY101" s="14">
        <f>CZ100</f>
        <v/>
      </c>
      <c r="BZ101" s="14">
        <f>DA100</f>
        <v/>
      </c>
      <c r="CA101" s="14">
        <f>$B$19*BY101</f>
        <v/>
      </c>
      <c r="CB101" s="14">
        <f>DB100</f>
        <v/>
      </c>
      <c r="CC101" s="14">
        <f>DC100</f>
        <v/>
      </c>
      <c r="CD101" s="14">
        <f>IF(B101&gt;=tax_tables!$B$46,MAX(0,CB101)*INDEX(tax_tables!$N$5:$N$54,MATCH(MIN(B101-1,120),tax_tables!$M$5:$M$54,0)),0)</f>
        <v/>
      </c>
      <c r="CE101" s="14">
        <f>IF(C101&gt;=tax_tables!$B$46,MAX(0,CC101)*INDEX(tax_tables!$N$5:$N$54,MATCH(MIN(C101-1,120),tax_tables!$M$5:$M$54,0)),0)</f>
        <v/>
      </c>
      <c r="CF101" s="14">
        <f>DD100</f>
        <v/>
      </c>
      <c r="CG101" s="14">
        <f>IF(OR($B$52="",$B$53=""),0,IF(AND(A101&gt;=$B$52,A101&lt;=$B$53),$B$51*O101,0))</f>
        <v/>
      </c>
      <c r="CH101" s="14">
        <f>MAX(0,CB101*(1+M101)-CD101)</f>
        <v/>
      </c>
      <c r="CI101" s="14">
        <f>MAX(0,CC101*(1+M101)-CE101)</f>
        <v/>
      </c>
      <c r="CJ101" s="14">
        <f>MIN(CG101,CH101+CI101)</f>
        <v/>
      </c>
      <c r="CK101" s="14">
        <f>IF(CH101+CI101&gt;1,CJ101*CH101/(CH101+CI101),0)</f>
        <v/>
      </c>
      <c r="CL101" s="14">
        <f>CJ101-CK101</f>
        <v/>
      </c>
      <c r="CM101" s="14">
        <f>CM100-CW100+CU100+tax_tables!$B$32*P101*2</f>
        <v/>
      </c>
      <c r="CN101" s="14">
        <f>EC100-AI100</f>
        <v/>
      </c>
      <c r="CO101" s="14">
        <f>AJ101+F101+BW101+BX101+BK101+CA101+CD101+CE101+BN101+AK101+AL101+CJ101</f>
        <v/>
      </c>
      <c r="CP101" s="14">
        <f>D101+CN101-CO101</f>
        <v/>
      </c>
      <c r="CQ101" s="14">
        <f>MAX(0,MIN(CP101,BY101*(1+M101-$B$19)))</f>
        <v/>
      </c>
      <c r="CR101" s="14">
        <f>MAX(0,MIN(CP101-CQ101,(CH101-CK101)+(CI101-CL101)))</f>
        <v/>
      </c>
      <c r="CS101" s="14">
        <f>IF((CH101-CK101)+(CI101-CL101)&gt;1,CR101*(CH101-CK101)/((CH101-CK101)+(CI101-CL101)),0)</f>
        <v/>
      </c>
      <c r="CT101" s="14">
        <f>CR101-CS101</f>
        <v/>
      </c>
      <c r="CU101" s="14">
        <f>MAX(0,MIN(CP101-CQ101-CR101,CF101*(1+M101)))</f>
        <v/>
      </c>
      <c r="CV101" s="14">
        <f>MAX(0,-CP101)</f>
        <v/>
      </c>
      <c r="CW101" s="14">
        <f>MIN(CV101,MAX(0,CM101))</f>
        <v/>
      </c>
      <c r="CX101" s="22">
        <f>IF(BY101&gt;0,MAX(0,1-BZ101/BY101),0)</f>
        <v/>
      </c>
      <c r="CY101" s="14">
        <f>CQ101*CX101</f>
        <v/>
      </c>
      <c r="CZ101" s="14">
        <f>BY101*(1+M101-$B$19)-CQ101+(CV101-CW101)</f>
        <v/>
      </c>
      <c r="DA101" s="14">
        <f>BZ101-(CQ101-CY101)+(CV101-CW101)</f>
        <v/>
      </c>
      <c r="DB101" s="14">
        <f>CB101*(1+M101)-CD101-CS101-CK101+Z101+AB101</f>
        <v/>
      </c>
      <c r="DC101" s="14">
        <f>CC101*(1+M101)-CE101-CT101-CL101+AA101+AC101</f>
        <v/>
      </c>
      <c r="DD101" s="14">
        <f>CF101*(1+M101)-CU101+CW101</f>
        <v/>
      </c>
      <c r="DE101" s="14">
        <f>CD101+CK101+CS101</f>
        <v/>
      </c>
      <c r="DF101" s="14">
        <f>CA101*household!$B$15*$B$20*(1+tax_tables!$B$17)</f>
        <v/>
      </c>
      <c r="DG101" s="14">
        <f>X101+BS101+BU101+BW101+DE101+DF101+CA101*household!$B$15*(1-$B$20)+(CY101+BO101)*household!$B$15*tax_tables!$B$18+(BP101+BM101+AK101)*household!$B$15-Z101</f>
        <v/>
      </c>
      <c r="DH101" s="14">
        <f>CE101+CL101+CT101</f>
        <v/>
      </c>
      <c r="DI101" s="14">
        <f>CA101*(1-household!$B$15)*$B$20*(1+tax_tables!$B$17)</f>
        <v/>
      </c>
      <c r="DJ101" s="14">
        <f>Y101+BT101+BV101+BX101+DH101+DI101+CA101*(1-household!$B$15)*(1-$B$20)+(CY101+BO101)*(1-household!$B$15)*tax_tables!$B$18+(BP101+BM101+AK101)*(1-household!$B$15)-AA101</f>
        <v/>
      </c>
      <c r="DK101" s="14">
        <f>IF((DG101&gt;=DJ101),MIN(0.5*(BW101+IF(B101&gt;=65,DE101,0)),MAX(0,(DG101-DJ101)/2)),MIN(0.5*(BX101+IF(C101&gt;=65,DH101,0)),MAX(0,(DJ101-DG101)/2)))</f>
        <v/>
      </c>
      <c r="DL101" s="14">
        <f>DG101+IF((DG101&gt;=DJ101),-DK101,DK101)</f>
        <v/>
      </c>
      <c r="DM101" s="14">
        <f>BW101+IF(B101&gt;=65,DE101,0)+IF((DG101&gt;=DJ101),-DK101,DK101)</f>
        <v/>
      </c>
      <c r="DN101" s="14">
        <f>MIN(BU101,tax_tables!$B$22*MAX(0,DL101-tax_tables!$B$21*P101))</f>
        <v/>
      </c>
      <c r="DO101" s="14">
        <f>MAX(0,DL101-DN101)</f>
        <v/>
      </c>
      <c r="DP101" s="14">
        <f>DJ101+IF((DG101&gt;=DJ101),DK101,-DK101)</f>
        <v/>
      </c>
      <c r="DQ101" s="14">
        <f>BX101+IF(C101&gt;=65,DH101,0)+IF((DG101&gt;=DJ101),DK101,-DK101)</f>
        <v/>
      </c>
      <c r="DR101" s="14">
        <f>MIN(BV101,tax_tables!$B$22*MAX(0,DP101-tax_tables!$B$21*P101))</f>
        <v/>
      </c>
      <c r="DS101" s="14">
        <f>MAX(0,DP101-DR101)</f>
        <v/>
      </c>
      <c r="DT101" s="14">
        <f>BJ101-BD101</f>
        <v/>
      </c>
      <c r="DU101" s="14">
        <f>(tax_tables!$B$6-(tax_tables!$B$6-tax_tables!$B$7)*MIN(1,MAX(0,(DL101-tax_tables!$B$8*P101)/((tax_tables!$B$9-tax_tables!$B$8)*P101))))*P101+(B101&gt;=65)*MAX(0,tax_tables!$B$10*P101-tax_tables!$B$12*MAX(0,DL101-tax_tables!$B$11*P101))+MIN(tax_tables!$B$13,DM101)+MIN(tax_tables!$B$14*P101,X101)+AF101+(DL101&lt;=DP101)*MAX(0,DT101-MIN(0.03*DL101,tax_tables!$B$15*P101))</f>
        <v/>
      </c>
      <c r="DV101" s="14">
        <f>MAX(0,SUMPRODUCT((DO101&gt;tax_tables!$E$5:$E$16*P101)*(DO101-tax_tables!$E$5:$E$16*P101)*tax_tables!$G$5:$G$16)-tax_tables!$B$5*DU101-tax_tables!$B$16*DF101)</f>
        <v/>
      </c>
      <c r="DW101" s="14">
        <f>tax_tables!$B$35*Q101+(B101&gt;=65)*MAX(0,tax_tables!$B$36*Q101-tax_tables!$B$12*MAX(0,DL101-tax_tables!$B$37*Q101))+MIN(tax_tables!$B$38,DM101)+AF101+(DL101&lt;=DP101)*MAX(0,DT101-MIN(0.03*DL101,tax_tables!$B$39*Q101))</f>
        <v/>
      </c>
      <c r="DX101" s="14">
        <f>MAX(0,SUMPRODUCT((DO101&gt;tax_tables!$I$5:$I$16*Q101)*(DO101-tax_tables!$I$5:$I$16*Q101)*tax_tables!$K$5:$K$16)-tax_tables!$B$34*DW101-tax_tables!$B$40*DF101-MAX(0,tax_tables!$B$41*Q101-tax_tables!$B$43*MAX(0,DL101-tax_tables!$B$42*Q101)))</f>
        <v/>
      </c>
      <c r="DY101" s="14">
        <f>(tax_tables!$B$6-(tax_tables!$B$6-tax_tables!$B$7)*MIN(1,MAX(0,(DP101-tax_tables!$B$8*P101)/((tax_tables!$B$9-tax_tables!$B$8)*P101))))*P101+(C101&gt;=65)*MAX(0,tax_tables!$B$10*P101-tax_tables!$B$12*MAX(0,DP101-tax_tables!$B$11*P101))+MIN(tax_tables!$B$13,DQ101)+MIN(tax_tables!$B$14*P101,Y101)+AG101+(DL101&gt;DP101)*MAX(0,DT101-MIN(0.03*DP101,tax_tables!$B$15*P101))</f>
        <v/>
      </c>
      <c r="DZ101" s="14">
        <f>MAX(0,SUMPRODUCT((DS101&gt;tax_tables!$E$5:$E$16*P101)*(DS101-tax_tables!$E$5:$E$16*P101)*tax_tables!$G$5:$G$16)-tax_tables!$B$5*DY101-tax_tables!$B$16*DI101)</f>
        <v/>
      </c>
      <c r="EA101" s="14">
        <f>tax_tables!$B$35*Q101+(C101&gt;=65)*MAX(0,tax_tables!$B$36*Q101-tax_tables!$B$12*MAX(0,DP101-tax_tables!$B$37*Q101))+MIN(tax_tables!$B$38,DQ101)+AG101+(DL101&gt;DP101)*MAX(0,DT101-MIN(0.03*DP101,tax_tables!$B$39*Q101))</f>
        <v/>
      </c>
      <c r="EB101" s="14">
        <f>MAX(0,SUMPRODUCT((DS101&gt;tax_tables!$I$5:$I$16*Q101)*(DS101-tax_tables!$I$5:$I$16*Q101)*tax_tables!$K$5:$K$16)-tax_tables!$B$34*EA101-tax_tables!$B$40*DI101-MAX(0,tax_tables!$B$41*Q101-tax_tables!$B$43*MAX(0,DP101-tax_tables!$B$42*Q101)))</f>
        <v/>
      </c>
      <c r="EC101" s="14">
        <f>DV101+DZ101+DX101+EB101+DN101+DR101</f>
        <v/>
      </c>
      <c r="ED101" s="14">
        <f>CZ101+DB101+DC101+DD101</f>
        <v/>
      </c>
      <c r="EE101" s="14">
        <f>ED101+BQ101-AR101+BR101</f>
        <v/>
      </c>
    </row>
    <row r="102">
      <c r="A102" s="21">
        <f>A101+1</f>
        <v/>
      </c>
      <c r="B102" s="21">
        <f>A102-household!$B$6</f>
        <v/>
      </c>
      <c r="C102" s="21">
        <f>A102-household!$B$9</f>
        <v/>
      </c>
      <c r="D102" s="14">
        <f>AU102+AV102+AW102+AX102+BB102+BJ102+AM102</f>
        <v/>
      </c>
      <c r="E102" s="14">
        <f>CN102+AI102+AH102</f>
        <v/>
      </c>
      <c r="F102" s="14">
        <f>BS102+BT102+BU102+BV102</f>
        <v/>
      </c>
      <c r="G102" s="14">
        <f>CQ102+CR102+CU102+CD102+CE102+CA102-CV102+CJ102+CW102</f>
        <v/>
      </c>
      <c r="H102" s="22">
        <f>IF(BY102+CB102+CC102+CF102&lt;=0,"",G102/(BY102+CB102+CC102+CF102))</f>
        <v/>
      </c>
      <c r="I102" s="23">
        <f>ED102/O102</f>
        <v/>
      </c>
      <c r="J102" s="23">
        <f>EE102/O102</f>
        <v/>
      </c>
      <c r="K102" s="14">
        <f>MAX(0,CP102-CQ102-CR102-CU102)</f>
        <v/>
      </c>
      <c r="L102" s="10" t="n"/>
      <c r="M102" s="22">
        <f>IF(L102="",$B$18,L102)</f>
        <v/>
      </c>
      <c r="N102" s="13" t="n"/>
      <c r="O102" s="12">
        <f>(1+$B$17)^(A102-household!$B$4+1)</f>
        <v/>
      </c>
      <c r="P102" s="12">
        <f>(1+$B$17)^(A102-tax_tables!$B$4)</f>
        <v/>
      </c>
      <c r="Q102" s="12">
        <f>(1+$B$17)^(A102-tax_tables!$B$4-MAX(0,MIN(A102,tax_tables!$B$45)-tax_tables!$B$44+1))</f>
        <v/>
      </c>
      <c r="R102" s="12">
        <f>(1+$B$21)^(A102-household!$B$4+1)</f>
        <v/>
      </c>
      <c r="S102" s="12">
        <f>(1+$B$22)^(A102-household!$B$4+1)</f>
        <v/>
      </c>
      <c r="T102" s="12">
        <f>(1+$B$23)^(A102-household!$B$4+1)</f>
        <v/>
      </c>
      <c r="U102" s="21">
        <f>IF(A102&lt;$B$5,1,0)</f>
        <v/>
      </c>
      <c r="V102" s="21">
        <f>IF(A102&lt;$B$6,1,0)</f>
        <v/>
      </c>
      <c r="W102" s="21">
        <f>IF(U102+V102&gt;0,1,0)</f>
        <v/>
      </c>
      <c r="X102" s="14">
        <f>U102*$B$7*O102+SUMPRODUCT(($B$72:$B$77=A102)*($D$72:$D$77="Wages: person 1")*$C$72:$C$77)*O102</f>
        <v/>
      </c>
      <c r="Y102" s="14">
        <f>V102*$B$8*O102+SUMPRODUCT(($B$72:$B$77=A102)*($D$72:$D$77="Wages: person 2")*$C$72:$C$77)*O102</f>
        <v/>
      </c>
      <c r="Z102" s="14">
        <f>U102*$B$9*O102</f>
        <v/>
      </c>
      <c r="AA102" s="14">
        <f>V102*$B$10*O102</f>
        <v/>
      </c>
      <c r="AB102" s="14">
        <f>U102*$B$11*O102</f>
        <v/>
      </c>
      <c r="AC102" s="14">
        <f>V102*$B$12*O102</f>
        <v/>
      </c>
      <c r="AD102" s="14">
        <f>X102+Y102</f>
        <v/>
      </c>
      <c r="AE102" s="14">
        <f>AD102-Z102-AA102</f>
        <v/>
      </c>
      <c r="AF102" s="14">
        <f>tax_tables!$B$25*MAX(0,MIN(X102,tax_tables!$B$27*P102)-tax_tables!$B$26)+tax_tables!$B$28*MAX(0,MIN(X102,tax_tables!$B$29*P102)-tax_tables!$B$27*P102)+tax_tables!$B$30*MIN(X102,tax_tables!$B$31*P102)</f>
        <v/>
      </c>
      <c r="AG102" s="14">
        <f>tax_tables!$B$25*MAX(0,MIN(Y102,tax_tables!$B$27*P102)-tax_tables!$B$26)+tax_tables!$B$28*MAX(0,MIN(Y102,tax_tables!$B$29*P102)-tax_tables!$B$27*P102)+tax_tables!$B$30*MIN(Y102,tax_tables!$B$31*P102)</f>
        <v/>
      </c>
      <c r="AH102" s="14">
        <f>AF102+AG102</f>
        <v/>
      </c>
      <c r="AI102" s="14">
        <f>$B$13*AE102</f>
        <v/>
      </c>
      <c r="AJ102" s="14">
        <f>AD102-Z102-AA102-AH102-AI102</f>
        <v/>
      </c>
      <c r="AK102" s="14">
        <f>SUMPRODUCT(($B$72:$B$77=A102)*($D$72:$D$77="Other taxable income")*$C$72:$C$77)*O102</f>
        <v/>
      </c>
      <c r="AL102" s="14">
        <f>SUMPRODUCT(($B$72:$B$77=A102)*($D$72:$D$77="Tax-free money in")*$C$72:$C$77)*O102</f>
        <v/>
      </c>
      <c r="AM102" s="14">
        <f>SUMPRODUCT(($B$72:$B$77=A102)*($D$72:$D$77="Expense")*$C$72:$C$77)*O102</f>
        <v/>
      </c>
      <c r="AN102" s="21">
        <f>IF(OR($B$64="",A102&lt;$B$64),1,0)</f>
        <v/>
      </c>
      <c r="AO102" s="14">
        <f>AR101</f>
        <v/>
      </c>
      <c r="AP102" s="14">
        <f>AN102*AO102*properties!$J$2</f>
        <v/>
      </c>
      <c r="AQ102" s="14">
        <f>AN102*MIN(properties!$K$2,AO102+AP102)</f>
        <v/>
      </c>
      <c r="AR102" s="14">
        <f>AN102*(AO102+AP102-AQ102)</f>
        <v/>
      </c>
      <c r="AS102" s="14">
        <f>AN102*properties!$G$2*O102</f>
        <v/>
      </c>
      <c r="AT102" s="14">
        <f>(1-AN102)*$E$64*O102</f>
        <v/>
      </c>
      <c r="AU102" s="14">
        <f>AQ102+AS102+AT102</f>
        <v/>
      </c>
      <c r="AV102" s="14">
        <f>SUMIF(budget!$A$2:$A$300,"household",budget!$F$2:$F$300)*O102*IF(N102="",1,N102)</f>
        <v/>
      </c>
      <c r="AW102" s="14">
        <f>SUMPRODUCT((other_budget!$C$2:$C$30&lt;=A102)*(other_budget!$D$2:$D$30&gt;=A102)*other_budget!$B$2:$B$30)*O102</f>
        <v/>
      </c>
      <c r="AX102" s="14">
        <f>SUMPRODUCT((kids_budget!$D$2:$D$40&lt;=A102)*(kids_budget!$E$2:$E$40&gt;=A102)*(kids_budget!$G$2:$G$40&lt;&gt;"college_funds")*kids_budget!$C$2:$C$40*((kids_budget!$F$2:$F$40="college")*S102+(kids_budget!$F$2:$F$40&lt;&gt;"college")*O102))</f>
        <v/>
      </c>
      <c r="AY102" s="14">
        <f>SUMPRODUCT((kids_budget!$D$2:$D$40&lt;=A102)*(kids_budget!$E$2:$E$40&gt;=A102)*(kids_budget!$G$2:$G$40="college_funds")*kids_budget!$C$2:$C$40*((kids_budget!$F$2:$F$40="college")*S102+(kids_budget!$F$2:$F$40&lt;&gt;"college")*O102))</f>
        <v/>
      </c>
      <c r="AZ102" s="14">
        <f>BC101</f>
        <v/>
      </c>
      <c r="BA102" s="14">
        <f>MIN(AY102,AZ102*(1+M102))</f>
        <v/>
      </c>
      <c r="BB102" s="14">
        <f>AY102-BA102</f>
        <v/>
      </c>
      <c r="BC102" s="14">
        <f>AZ102*(1+M102)-BA102</f>
        <v/>
      </c>
      <c r="BD102" s="14">
        <f>W102*healthcare!$B$2*R102</f>
        <v/>
      </c>
      <c r="BE102" s="21">
        <f>(1-W102)*2</f>
        <v/>
      </c>
      <c r="BF102" s="14">
        <f>BE102*healthcare!$B$3*12*R102</f>
        <v/>
      </c>
      <c r="BG102" s="14">
        <f>BE102*healthcare!$B$4*R102</f>
        <v/>
      </c>
      <c r="BH102" s="21">
        <f>AND(B102&gt;=$B$44,B102&lt;$B$44+$B$45)*1+AND(C102&gt;=$B$46,C102&lt;$B$46+$B$47)*1</f>
        <v/>
      </c>
      <c r="BI102" s="14">
        <f>BH102*$B$48*T102</f>
        <v/>
      </c>
      <c r="BJ102" s="14">
        <f>BD102+BF102+BG102+BI102</f>
        <v/>
      </c>
      <c r="BK102" s="14">
        <f>SUMPRODUCT((1-($B$65:$B$68&gt;0)*(A102&gt;=$B$65:$B$68))*(1-(($C$65:$C$68&gt;0)*(A102&gt;=$C$65:$C$68)))*(properties!$L$3:$L$6-properties!$M$3:$M$6))*O102+SUMPRODUCT((1-($B$65:$B$68&gt;0)*(A102&gt;=$B$65:$B$68))*(($C$65:$C$68&gt;0)*(A102&gt;=$C$65:$C$68))*($D$65:$D$68-$E$65:$E$68))*O102</f>
        <v/>
      </c>
      <c r="BL102" s="14">
        <f>SUMPRODUCT((1-($B$65:$B$68&gt;0)*(A102&gt;=$B$65:$B$68))*properties!$N$3:$N$6*(A102&lt;=properties!$O$3:$O$6))</f>
        <v/>
      </c>
      <c r="BM102" s="14">
        <f>MAX(0,BK102-BL102)</f>
        <v/>
      </c>
      <c r="BN102" s="14">
        <f>SUMPRODUCT(($B$64:$B$68=A102)*$G$64:$G$68)</f>
        <v/>
      </c>
      <c r="BO102" s="14">
        <f>SUMPRODUCT(($B$64:$B$68=A102)*$H$64:$H$68)</f>
        <v/>
      </c>
      <c r="BP102" s="14">
        <f>SUMPRODUCT(($B$64:$B$68=A102)*$I$64:$I$68)</f>
        <v/>
      </c>
      <c r="BQ102" s="14">
        <f>AN102*properties!$C$2*(1+properties!$D$2)^(A102-household!$B$4+1)</f>
        <v/>
      </c>
      <c r="BR102" s="14">
        <f>SUMPRODUCT((1-($B$65:$B$68&gt;0)*(A102&gt;=$B$65:$B$68))*properties!$C$3:$C$6*(1+properties!$D$3:$D$6)^(A102-household!$B$4+1))</f>
        <v/>
      </c>
      <c r="BS102" s="14">
        <f>IF(A102&gt;=household!$B$6+$B$26,household!$B$11*12*$B$30*O102,0)</f>
        <v/>
      </c>
      <c r="BT102" s="14">
        <f>IF(A102&gt;=household!$B$9+$B$27,household!$B$12*12*$B$31*O102,0)</f>
        <v/>
      </c>
      <c r="BU102" s="14">
        <f>IF(A102&gt;=household!$B$6+$B$28,tax_tables!$B$19*12*P102*MIN(1,household!$B$13/40)*$B$32*(1+tax_tables!$B$20*(B102&gt;=75)),0)</f>
        <v/>
      </c>
      <c r="BV102" s="14">
        <f>IF(A102&gt;=household!$B$9+$B$29,tax_tables!$B$19*12*P102*MIN(1,household!$B$14/40)*$B$33*(1+tax_tables!$B$20*(C102&gt;=75)),0)</f>
        <v/>
      </c>
      <c r="BW102" s="14">
        <f>IF(AND($B$36&lt;&gt;0,A102&gt;=household!$B$6+$B$37),$B$36*(1+$B$17)^(MAX(household!$B$6+$B$37,household!$B$4-1)-household!$B$4+1)*(1+$B$40*$B$17)^(A102-MAX(household!$B$6+$B$37,household!$B$4-1)),0)</f>
        <v/>
      </c>
      <c r="BX102" s="14">
        <f>IF(AND($B$38&lt;&gt;0,A102&gt;=household!$B$9+$B$39),$B$38*(1+$B$17)^(MAX(household!$B$9+$B$39,household!$B$4-1)-household!$B$4+1)*(1+$B$40*$B$17)^(A102-MAX(household!$B$9+$B$39,household!$B$4-1)),0)</f>
        <v/>
      </c>
      <c r="BY102" s="14">
        <f>CZ101</f>
        <v/>
      </c>
      <c r="BZ102" s="14">
        <f>DA101</f>
        <v/>
      </c>
      <c r="CA102" s="14">
        <f>$B$19*BY102</f>
        <v/>
      </c>
      <c r="CB102" s="14">
        <f>DB101</f>
        <v/>
      </c>
      <c r="CC102" s="14">
        <f>DC101</f>
        <v/>
      </c>
      <c r="CD102" s="14">
        <f>IF(B102&gt;=tax_tables!$B$46,MAX(0,CB102)*INDEX(tax_tables!$N$5:$N$54,MATCH(MIN(B102-1,120),tax_tables!$M$5:$M$54,0)),0)</f>
        <v/>
      </c>
      <c r="CE102" s="14">
        <f>IF(C102&gt;=tax_tables!$B$46,MAX(0,CC102)*INDEX(tax_tables!$N$5:$N$54,MATCH(MIN(C102-1,120),tax_tables!$M$5:$M$54,0)),0)</f>
        <v/>
      </c>
      <c r="CF102" s="14">
        <f>DD101</f>
        <v/>
      </c>
      <c r="CG102" s="14">
        <f>IF(OR($B$52="",$B$53=""),0,IF(AND(A102&gt;=$B$52,A102&lt;=$B$53),$B$51*O102,0))</f>
        <v/>
      </c>
      <c r="CH102" s="14">
        <f>MAX(0,CB102*(1+M102)-CD102)</f>
        <v/>
      </c>
      <c r="CI102" s="14">
        <f>MAX(0,CC102*(1+M102)-CE102)</f>
        <v/>
      </c>
      <c r="CJ102" s="14">
        <f>MIN(CG102,CH102+CI102)</f>
        <v/>
      </c>
      <c r="CK102" s="14">
        <f>IF(CH102+CI102&gt;1,CJ102*CH102/(CH102+CI102),0)</f>
        <v/>
      </c>
      <c r="CL102" s="14">
        <f>CJ102-CK102</f>
        <v/>
      </c>
      <c r="CM102" s="14">
        <f>CM101-CW101+CU101+tax_tables!$B$32*P102*2</f>
        <v/>
      </c>
      <c r="CN102" s="14">
        <f>EC101-AI101</f>
        <v/>
      </c>
      <c r="CO102" s="14">
        <f>AJ102+F102+BW102+BX102+BK102+CA102+CD102+CE102+BN102+AK102+AL102+CJ102</f>
        <v/>
      </c>
      <c r="CP102" s="14">
        <f>D102+CN102-CO102</f>
        <v/>
      </c>
      <c r="CQ102" s="14">
        <f>MAX(0,MIN(CP102,BY102*(1+M102-$B$19)))</f>
        <v/>
      </c>
      <c r="CR102" s="14">
        <f>MAX(0,MIN(CP102-CQ102,(CH102-CK102)+(CI102-CL102)))</f>
        <v/>
      </c>
      <c r="CS102" s="14">
        <f>IF((CH102-CK102)+(CI102-CL102)&gt;1,CR102*(CH102-CK102)/((CH102-CK102)+(CI102-CL102)),0)</f>
        <v/>
      </c>
      <c r="CT102" s="14">
        <f>CR102-CS102</f>
        <v/>
      </c>
      <c r="CU102" s="14">
        <f>MAX(0,MIN(CP102-CQ102-CR102,CF102*(1+M102)))</f>
        <v/>
      </c>
      <c r="CV102" s="14">
        <f>MAX(0,-CP102)</f>
        <v/>
      </c>
      <c r="CW102" s="14">
        <f>MIN(CV102,MAX(0,CM102))</f>
        <v/>
      </c>
      <c r="CX102" s="22">
        <f>IF(BY102&gt;0,MAX(0,1-BZ102/BY102),0)</f>
        <v/>
      </c>
      <c r="CY102" s="14">
        <f>CQ102*CX102</f>
        <v/>
      </c>
      <c r="CZ102" s="14">
        <f>BY102*(1+M102-$B$19)-CQ102+(CV102-CW102)</f>
        <v/>
      </c>
      <c r="DA102" s="14">
        <f>BZ102-(CQ102-CY102)+(CV102-CW102)</f>
        <v/>
      </c>
      <c r="DB102" s="14">
        <f>CB102*(1+M102)-CD102-CS102-CK102+Z102+AB102</f>
        <v/>
      </c>
      <c r="DC102" s="14">
        <f>CC102*(1+M102)-CE102-CT102-CL102+AA102+AC102</f>
        <v/>
      </c>
      <c r="DD102" s="14">
        <f>CF102*(1+M102)-CU102+CW102</f>
        <v/>
      </c>
      <c r="DE102" s="14">
        <f>CD102+CK102+CS102</f>
        <v/>
      </c>
      <c r="DF102" s="14">
        <f>CA102*household!$B$15*$B$20*(1+tax_tables!$B$17)</f>
        <v/>
      </c>
      <c r="DG102" s="14">
        <f>X102+BS102+BU102+BW102+DE102+DF102+CA102*household!$B$15*(1-$B$20)+(CY102+BO102)*household!$B$15*tax_tables!$B$18+(BP102+BM102+AK102)*household!$B$15-Z102</f>
        <v/>
      </c>
      <c r="DH102" s="14">
        <f>CE102+CL102+CT102</f>
        <v/>
      </c>
      <c r="DI102" s="14">
        <f>CA102*(1-household!$B$15)*$B$20*(1+tax_tables!$B$17)</f>
        <v/>
      </c>
      <c r="DJ102" s="14">
        <f>Y102+BT102+BV102+BX102+DH102+DI102+CA102*(1-household!$B$15)*(1-$B$20)+(CY102+BO102)*(1-household!$B$15)*tax_tables!$B$18+(BP102+BM102+AK102)*(1-household!$B$15)-AA102</f>
        <v/>
      </c>
      <c r="DK102" s="14">
        <f>IF((DG102&gt;=DJ102),MIN(0.5*(BW102+IF(B102&gt;=65,DE102,0)),MAX(0,(DG102-DJ102)/2)),MIN(0.5*(BX102+IF(C102&gt;=65,DH102,0)),MAX(0,(DJ102-DG102)/2)))</f>
        <v/>
      </c>
      <c r="DL102" s="14">
        <f>DG102+IF((DG102&gt;=DJ102),-DK102,DK102)</f>
        <v/>
      </c>
      <c r="DM102" s="14">
        <f>BW102+IF(B102&gt;=65,DE102,0)+IF((DG102&gt;=DJ102),-DK102,DK102)</f>
        <v/>
      </c>
      <c r="DN102" s="14">
        <f>MIN(BU102,tax_tables!$B$22*MAX(0,DL102-tax_tables!$B$21*P102))</f>
        <v/>
      </c>
      <c r="DO102" s="14">
        <f>MAX(0,DL102-DN102)</f>
        <v/>
      </c>
      <c r="DP102" s="14">
        <f>DJ102+IF((DG102&gt;=DJ102),DK102,-DK102)</f>
        <v/>
      </c>
      <c r="DQ102" s="14">
        <f>BX102+IF(C102&gt;=65,DH102,0)+IF((DG102&gt;=DJ102),DK102,-DK102)</f>
        <v/>
      </c>
      <c r="DR102" s="14">
        <f>MIN(BV102,tax_tables!$B$22*MAX(0,DP102-tax_tables!$B$21*P102))</f>
        <v/>
      </c>
      <c r="DS102" s="14">
        <f>MAX(0,DP102-DR102)</f>
        <v/>
      </c>
      <c r="DT102" s="14">
        <f>BJ102-BD102</f>
        <v/>
      </c>
      <c r="DU102" s="14">
        <f>(tax_tables!$B$6-(tax_tables!$B$6-tax_tables!$B$7)*MIN(1,MAX(0,(DL102-tax_tables!$B$8*P102)/((tax_tables!$B$9-tax_tables!$B$8)*P102))))*P102+(B102&gt;=65)*MAX(0,tax_tables!$B$10*P102-tax_tables!$B$12*MAX(0,DL102-tax_tables!$B$11*P102))+MIN(tax_tables!$B$13,DM102)+MIN(tax_tables!$B$14*P102,X102)+AF102+(DL102&lt;=DP102)*MAX(0,DT102-MIN(0.03*DL102,tax_tables!$B$15*P102))</f>
        <v/>
      </c>
      <c r="DV102" s="14">
        <f>MAX(0,SUMPRODUCT((DO102&gt;tax_tables!$E$5:$E$16*P102)*(DO102-tax_tables!$E$5:$E$16*P102)*tax_tables!$G$5:$G$16)-tax_tables!$B$5*DU102-tax_tables!$B$16*DF102)</f>
        <v/>
      </c>
      <c r="DW102" s="14">
        <f>tax_tables!$B$35*Q102+(B102&gt;=65)*MAX(0,tax_tables!$B$36*Q102-tax_tables!$B$12*MAX(0,DL102-tax_tables!$B$37*Q102))+MIN(tax_tables!$B$38,DM102)+AF102+(DL102&lt;=DP102)*MAX(0,DT102-MIN(0.03*DL102,tax_tables!$B$39*Q102))</f>
        <v/>
      </c>
      <c r="DX102" s="14">
        <f>MAX(0,SUMPRODUCT((DO102&gt;tax_tables!$I$5:$I$16*Q102)*(DO102-tax_tables!$I$5:$I$16*Q102)*tax_tables!$K$5:$K$16)-tax_tables!$B$34*DW102-tax_tables!$B$40*DF102-MAX(0,tax_tables!$B$41*Q102-tax_tables!$B$43*MAX(0,DL102-tax_tables!$B$42*Q102)))</f>
        <v/>
      </c>
      <c r="DY102" s="14">
        <f>(tax_tables!$B$6-(tax_tables!$B$6-tax_tables!$B$7)*MIN(1,MAX(0,(DP102-tax_tables!$B$8*P102)/((tax_tables!$B$9-tax_tables!$B$8)*P102))))*P102+(C102&gt;=65)*MAX(0,tax_tables!$B$10*P102-tax_tables!$B$12*MAX(0,DP102-tax_tables!$B$11*P102))+MIN(tax_tables!$B$13,DQ102)+MIN(tax_tables!$B$14*P102,Y102)+AG102+(DL102&gt;DP102)*MAX(0,DT102-MIN(0.03*DP102,tax_tables!$B$15*P102))</f>
        <v/>
      </c>
      <c r="DZ102" s="14">
        <f>MAX(0,SUMPRODUCT((DS102&gt;tax_tables!$E$5:$E$16*P102)*(DS102-tax_tables!$E$5:$E$16*P102)*tax_tables!$G$5:$G$16)-tax_tables!$B$5*DY102-tax_tables!$B$16*DI102)</f>
        <v/>
      </c>
      <c r="EA102" s="14">
        <f>tax_tables!$B$35*Q102+(C102&gt;=65)*MAX(0,tax_tables!$B$36*Q102-tax_tables!$B$12*MAX(0,DP102-tax_tables!$B$37*Q102))+MIN(tax_tables!$B$38,DQ102)+AG102+(DL102&gt;DP102)*MAX(0,DT102-MIN(0.03*DP102,tax_tables!$B$39*Q102))</f>
        <v/>
      </c>
      <c r="EB102" s="14">
        <f>MAX(0,SUMPRODUCT((DS102&gt;tax_tables!$I$5:$I$16*Q102)*(DS102-tax_tables!$I$5:$I$16*Q102)*tax_tables!$K$5:$K$16)-tax_tables!$B$34*EA102-tax_tables!$B$40*DI102-MAX(0,tax_tables!$B$41*Q102-tax_tables!$B$43*MAX(0,DP102-tax_tables!$B$42*Q102)))</f>
        <v/>
      </c>
      <c r="EC102" s="14">
        <f>DV102+DZ102+DX102+EB102+DN102+DR102</f>
        <v/>
      </c>
      <c r="ED102" s="14">
        <f>CZ102+DB102+DC102+DD102</f>
        <v/>
      </c>
      <c r="EE102" s="14">
        <f>ED102+BQ102-AR102+BR102</f>
        <v/>
      </c>
    </row>
    <row r="103">
      <c r="A103" s="21">
        <f>A102+1</f>
        <v/>
      </c>
      <c r="B103" s="21">
        <f>A103-household!$B$6</f>
        <v/>
      </c>
      <c r="C103" s="21">
        <f>A103-household!$B$9</f>
        <v/>
      </c>
      <c r="D103" s="14">
        <f>AU103+AV103+AW103+AX103+BB103+BJ103+AM103</f>
        <v/>
      </c>
      <c r="E103" s="14">
        <f>CN103+AI103+AH103</f>
        <v/>
      </c>
      <c r="F103" s="14">
        <f>BS103+BT103+BU103+BV103</f>
        <v/>
      </c>
      <c r="G103" s="14">
        <f>CQ103+CR103+CU103+CD103+CE103+CA103-CV103+CJ103+CW103</f>
        <v/>
      </c>
      <c r="H103" s="22">
        <f>IF(BY103+CB103+CC103+CF103&lt;=0,"",G103/(BY103+CB103+CC103+CF103))</f>
        <v/>
      </c>
      <c r="I103" s="23">
        <f>ED103/O103</f>
        <v/>
      </c>
      <c r="J103" s="23">
        <f>EE103/O103</f>
        <v/>
      </c>
      <c r="K103" s="14">
        <f>MAX(0,CP103-CQ103-CR103-CU103)</f>
        <v/>
      </c>
      <c r="L103" s="10" t="n"/>
      <c r="M103" s="22">
        <f>IF(L103="",$B$18,L103)</f>
        <v/>
      </c>
      <c r="N103" s="13" t="n"/>
      <c r="O103" s="12">
        <f>(1+$B$17)^(A103-household!$B$4+1)</f>
        <v/>
      </c>
      <c r="P103" s="12">
        <f>(1+$B$17)^(A103-tax_tables!$B$4)</f>
        <v/>
      </c>
      <c r="Q103" s="12">
        <f>(1+$B$17)^(A103-tax_tables!$B$4-MAX(0,MIN(A103,tax_tables!$B$45)-tax_tables!$B$44+1))</f>
        <v/>
      </c>
      <c r="R103" s="12">
        <f>(1+$B$21)^(A103-household!$B$4+1)</f>
        <v/>
      </c>
      <c r="S103" s="12">
        <f>(1+$B$22)^(A103-household!$B$4+1)</f>
        <v/>
      </c>
      <c r="T103" s="12">
        <f>(1+$B$23)^(A103-household!$B$4+1)</f>
        <v/>
      </c>
      <c r="U103" s="21">
        <f>IF(A103&lt;$B$5,1,0)</f>
        <v/>
      </c>
      <c r="V103" s="21">
        <f>IF(A103&lt;$B$6,1,0)</f>
        <v/>
      </c>
      <c r="W103" s="21">
        <f>IF(U103+V103&gt;0,1,0)</f>
        <v/>
      </c>
      <c r="X103" s="14">
        <f>U103*$B$7*O103+SUMPRODUCT(($B$72:$B$77=A103)*($D$72:$D$77="Wages: person 1")*$C$72:$C$77)*O103</f>
        <v/>
      </c>
      <c r="Y103" s="14">
        <f>V103*$B$8*O103+SUMPRODUCT(($B$72:$B$77=A103)*($D$72:$D$77="Wages: person 2")*$C$72:$C$77)*O103</f>
        <v/>
      </c>
      <c r="Z103" s="14">
        <f>U103*$B$9*O103</f>
        <v/>
      </c>
      <c r="AA103" s="14">
        <f>V103*$B$10*O103</f>
        <v/>
      </c>
      <c r="AB103" s="14">
        <f>U103*$B$11*O103</f>
        <v/>
      </c>
      <c r="AC103" s="14">
        <f>V103*$B$12*O103</f>
        <v/>
      </c>
      <c r="AD103" s="14">
        <f>X103+Y103</f>
        <v/>
      </c>
      <c r="AE103" s="14">
        <f>AD103-Z103-AA103</f>
        <v/>
      </c>
      <c r="AF103" s="14">
        <f>tax_tables!$B$25*MAX(0,MIN(X103,tax_tables!$B$27*P103)-tax_tables!$B$26)+tax_tables!$B$28*MAX(0,MIN(X103,tax_tables!$B$29*P103)-tax_tables!$B$27*P103)+tax_tables!$B$30*MIN(X103,tax_tables!$B$31*P103)</f>
        <v/>
      </c>
      <c r="AG103" s="14">
        <f>tax_tables!$B$25*MAX(0,MIN(Y103,tax_tables!$B$27*P103)-tax_tables!$B$26)+tax_tables!$B$28*MAX(0,MIN(Y103,tax_tables!$B$29*P103)-tax_tables!$B$27*P103)+tax_tables!$B$30*MIN(Y103,tax_tables!$B$31*P103)</f>
        <v/>
      </c>
      <c r="AH103" s="14">
        <f>AF103+AG103</f>
        <v/>
      </c>
      <c r="AI103" s="14">
        <f>$B$13*AE103</f>
        <v/>
      </c>
      <c r="AJ103" s="14">
        <f>AD103-Z103-AA103-AH103-AI103</f>
        <v/>
      </c>
      <c r="AK103" s="14">
        <f>SUMPRODUCT(($B$72:$B$77=A103)*($D$72:$D$77="Other taxable income")*$C$72:$C$77)*O103</f>
        <v/>
      </c>
      <c r="AL103" s="14">
        <f>SUMPRODUCT(($B$72:$B$77=A103)*($D$72:$D$77="Tax-free money in")*$C$72:$C$77)*O103</f>
        <v/>
      </c>
      <c r="AM103" s="14">
        <f>SUMPRODUCT(($B$72:$B$77=A103)*($D$72:$D$77="Expense")*$C$72:$C$77)*O103</f>
        <v/>
      </c>
      <c r="AN103" s="21">
        <f>IF(OR($B$64="",A103&lt;$B$64),1,0)</f>
        <v/>
      </c>
      <c r="AO103" s="14">
        <f>AR102</f>
        <v/>
      </c>
      <c r="AP103" s="14">
        <f>AN103*AO103*properties!$J$2</f>
        <v/>
      </c>
      <c r="AQ103" s="14">
        <f>AN103*MIN(properties!$K$2,AO103+AP103)</f>
        <v/>
      </c>
      <c r="AR103" s="14">
        <f>AN103*(AO103+AP103-AQ103)</f>
        <v/>
      </c>
      <c r="AS103" s="14">
        <f>AN103*properties!$G$2*O103</f>
        <v/>
      </c>
      <c r="AT103" s="14">
        <f>(1-AN103)*$E$64*O103</f>
        <v/>
      </c>
      <c r="AU103" s="14">
        <f>AQ103+AS103+AT103</f>
        <v/>
      </c>
      <c r="AV103" s="14">
        <f>SUMIF(budget!$A$2:$A$300,"household",budget!$F$2:$F$300)*O103*IF(N103="",1,N103)</f>
        <v/>
      </c>
      <c r="AW103" s="14">
        <f>SUMPRODUCT((other_budget!$C$2:$C$30&lt;=A103)*(other_budget!$D$2:$D$30&gt;=A103)*other_budget!$B$2:$B$30)*O103</f>
        <v/>
      </c>
      <c r="AX103" s="14">
        <f>SUMPRODUCT((kids_budget!$D$2:$D$40&lt;=A103)*(kids_budget!$E$2:$E$40&gt;=A103)*(kids_budget!$G$2:$G$40&lt;&gt;"college_funds")*kids_budget!$C$2:$C$40*((kids_budget!$F$2:$F$40="college")*S103+(kids_budget!$F$2:$F$40&lt;&gt;"college")*O103))</f>
        <v/>
      </c>
      <c r="AY103" s="14">
        <f>SUMPRODUCT((kids_budget!$D$2:$D$40&lt;=A103)*(kids_budget!$E$2:$E$40&gt;=A103)*(kids_budget!$G$2:$G$40="college_funds")*kids_budget!$C$2:$C$40*((kids_budget!$F$2:$F$40="college")*S103+(kids_budget!$F$2:$F$40&lt;&gt;"college")*O103))</f>
        <v/>
      </c>
      <c r="AZ103" s="14">
        <f>BC102</f>
        <v/>
      </c>
      <c r="BA103" s="14">
        <f>MIN(AY103,AZ103*(1+M103))</f>
        <v/>
      </c>
      <c r="BB103" s="14">
        <f>AY103-BA103</f>
        <v/>
      </c>
      <c r="BC103" s="14">
        <f>AZ103*(1+M103)-BA103</f>
        <v/>
      </c>
      <c r="BD103" s="14">
        <f>W103*healthcare!$B$2*R103</f>
        <v/>
      </c>
      <c r="BE103" s="21">
        <f>(1-W103)*2</f>
        <v/>
      </c>
      <c r="BF103" s="14">
        <f>BE103*healthcare!$B$3*12*R103</f>
        <v/>
      </c>
      <c r="BG103" s="14">
        <f>BE103*healthcare!$B$4*R103</f>
        <v/>
      </c>
      <c r="BH103" s="21">
        <f>AND(B103&gt;=$B$44,B103&lt;$B$44+$B$45)*1+AND(C103&gt;=$B$46,C103&lt;$B$46+$B$47)*1</f>
        <v/>
      </c>
      <c r="BI103" s="14">
        <f>BH103*$B$48*T103</f>
        <v/>
      </c>
      <c r="BJ103" s="14">
        <f>BD103+BF103+BG103+BI103</f>
        <v/>
      </c>
      <c r="BK103" s="14">
        <f>SUMPRODUCT((1-($B$65:$B$68&gt;0)*(A103&gt;=$B$65:$B$68))*(1-(($C$65:$C$68&gt;0)*(A103&gt;=$C$65:$C$68)))*(properties!$L$3:$L$6-properties!$M$3:$M$6))*O103+SUMPRODUCT((1-($B$65:$B$68&gt;0)*(A103&gt;=$B$65:$B$68))*(($C$65:$C$68&gt;0)*(A103&gt;=$C$65:$C$68))*($D$65:$D$68-$E$65:$E$68))*O103</f>
        <v/>
      </c>
      <c r="BL103" s="14">
        <f>SUMPRODUCT((1-($B$65:$B$68&gt;0)*(A103&gt;=$B$65:$B$68))*properties!$N$3:$N$6*(A103&lt;=properties!$O$3:$O$6))</f>
        <v/>
      </c>
      <c r="BM103" s="14">
        <f>MAX(0,BK103-BL103)</f>
        <v/>
      </c>
      <c r="BN103" s="14">
        <f>SUMPRODUCT(($B$64:$B$68=A103)*$G$64:$G$68)</f>
        <v/>
      </c>
      <c r="BO103" s="14">
        <f>SUMPRODUCT(($B$64:$B$68=A103)*$H$64:$H$68)</f>
        <v/>
      </c>
      <c r="BP103" s="14">
        <f>SUMPRODUCT(($B$64:$B$68=A103)*$I$64:$I$68)</f>
        <v/>
      </c>
      <c r="BQ103" s="14">
        <f>AN103*properties!$C$2*(1+properties!$D$2)^(A103-household!$B$4+1)</f>
        <v/>
      </c>
      <c r="BR103" s="14">
        <f>SUMPRODUCT((1-($B$65:$B$68&gt;0)*(A103&gt;=$B$65:$B$68))*properties!$C$3:$C$6*(1+properties!$D$3:$D$6)^(A103-household!$B$4+1))</f>
        <v/>
      </c>
      <c r="BS103" s="14">
        <f>IF(A103&gt;=household!$B$6+$B$26,household!$B$11*12*$B$30*O103,0)</f>
        <v/>
      </c>
      <c r="BT103" s="14">
        <f>IF(A103&gt;=household!$B$9+$B$27,household!$B$12*12*$B$31*O103,0)</f>
        <v/>
      </c>
      <c r="BU103" s="14">
        <f>IF(A103&gt;=household!$B$6+$B$28,tax_tables!$B$19*12*P103*MIN(1,household!$B$13/40)*$B$32*(1+tax_tables!$B$20*(B103&gt;=75)),0)</f>
        <v/>
      </c>
      <c r="BV103" s="14">
        <f>IF(A103&gt;=household!$B$9+$B$29,tax_tables!$B$19*12*P103*MIN(1,household!$B$14/40)*$B$33*(1+tax_tables!$B$20*(C103&gt;=75)),0)</f>
        <v/>
      </c>
      <c r="BW103" s="14">
        <f>IF(AND($B$36&lt;&gt;0,A103&gt;=household!$B$6+$B$37),$B$36*(1+$B$17)^(MAX(household!$B$6+$B$37,household!$B$4-1)-household!$B$4+1)*(1+$B$40*$B$17)^(A103-MAX(household!$B$6+$B$37,household!$B$4-1)),0)</f>
        <v/>
      </c>
      <c r="BX103" s="14">
        <f>IF(AND($B$38&lt;&gt;0,A103&gt;=household!$B$9+$B$39),$B$38*(1+$B$17)^(MAX(household!$B$9+$B$39,household!$B$4-1)-household!$B$4+1)*(1+$B$40*$B$17)^(A103-MAX(household!$B$9+$B$39,household!$B$4-1)),0)</f>
        <v/>
      </c>
      <c r="BY103" s="14">
        <f>CZ102</f>
        <v/>
      </c>
      <c r="BZ103" s="14">
        <f>DA102</f>
        <v/>
      </c>
      <c r="CA103" s="14">
        <f>$B$19*BY103</f>
        <v/>
      </c>
      <c r="CB103" s="14">
        <f>DB102</f>
        <v/>
      </c>
      <c r="CC103" s="14">
        <f>DC102</f>
        <v/>
      </c>
      <c r="CD103" s="14">
        <f>IF(B103&gt;=tax_tables!$B$46,MAX(0,CB103)*INDEX(tax_tables!$N$5:$N$54,MATCH(MIN(B103-1,120),tax_tables!$M$5:$M$54,0)),0)</f>
        <v/>
      </c>
      <c r="CE103" s="14">
        <f>IF(C103&gt;=tax_tables!$B$46,MAX(0,CC103)*INDEX(tax_tables!$N$5:$N$54,MATCH(MIN(C103-1,120),tax_tables!$M$5:$M$54,0)),0)</f>
        <v/>
      </c>
      <c r="CF103" s="14">
        <f>DD102</f>
        <v/>
      </c>
      <c r="CG103" s="14">
        <f>IF(OR($B$52="",$B$53=""),0,IF(AND(A103&gt;=$B$52,A103&lt;=$B$53),$B$51*O103,0))</f>
        <v/>
      </c>
      <c r="CH103" s="14">
        <f>MAX(0,CB103*(1+M103)-CD103)</f>
        <v/>
      </c>
      <c r="CI103" s="14">
        <f>MAX(0,CC103*(1+M103)-CE103)</f>
        <v/>
      </c>
      <c r="CJ103" s="14">
        <f>MIN(CG103,CH103+CI103)</f>
        <v/>
      </c>
      <c r="CK103" s="14">
        <f>IF(CH103+CI103&gt;1,CJ103*CH103/(CH103+CI103),0)</f>
        <v/>
      </c>
      <c r="CL103" s="14">
        <f>CJ103-CK103</f>
        <v/>
      </c>
      <c r="CM103" s="14">
        <f>CM102-CW102+CU102+tax_tables!$B$32*P103*2</f>
        <v/>
      </c>
      <c r="CN103" s="14">
        <f>EC102-AI102</f>
        <v/>
      </c>
      <c r="CO103" s="14">
        <f>AJ103+F103+BW103+BX103+BK103+CA103+CD103+CE103+BN103+AK103+AL103+CJ103</f>
        <v/>
      </c>
      <c r="CP103" s="14">
        <f>D103+CN103-CO103</f>
        <v/>
      </c>
      <c r="CQ103" s="14">
        <f>MAX(0,MIN(CP103,BY103*(1+M103-$B$19)))</f>
        <v/>
      </c>
      <c r="CR103" s="14">
        <f>MAX(0,MIN(CP103-CQ103,(CH103-CK103)+(CI103-CL103)))</f>
        <v/>
      </c>
      <c r="CS103" s="14">
        <f>IF((CH103-CK103)+(CI103-CL103)&gt;1,CR103*(CH103-CK103)/((CH103-CK103)+(CI103-CL103)),0)</f>
        <v/>
      </c>
      <c r="CT103" s="14">
        <f>CR103-CS103</f>
        <v/>
      </c>
      <c r="CU103" s="14">
        <f>MAX(0,MIN(CP103-CQ103-CR103,CF103*(1+M103)))</f>
        <v/>
      </c>
      <c r="CV103" s="14">
        <f>MAX(0,-CP103)</f>
        <v/>
      </c>
      <c r="CW103" s="14">
        <f>MIN(CV103,MAX(0,CM103))</f>
        <v/>
      </c>
      <c r="CX103" s="22">
        <f>IF(BY103&gt;0,MAX(0,1-BZ103/BY103),0)</f>
        <v/>
      </c>
      <c r="CY103" s="14">
        <f>CQ103*CX103</f>
        <v/>
      </c>
      <c r="CZ103" s="14">
        <f>BY103*(1+M103-$B$19)-CQ103+(CV103-CW103)</f>
        <v/>
      </c>
      <c r="DA103" s="14">
        <f>BZ103-(CQ103-CY103)+(CV103-CW103)</f>
        <v/>
      </c>
      <c r="DB103" s="14">
        <f>CB103*(1+M103)-CD103-CS103-CK103+Z103+AB103</f>
        <v/>
      </c>
      <c r="DC103" s="14">
        <f>CC103*(1+M103)-CE103-CT103-CL103+AA103+AC103</f>
        <v/>
      </c>
      <c r="DD103" s="14">
        <f>CF103*(1+M103)-CU103+CW103</f>
        <v/>
      </c>
      <c r="DE103" s="14">
        <f>CD103+CK103+CS103</f>
        <v/>
      </c>
      <c r="DF103" s="14">
        <f>CA103*household!$B$15*$B$20*(1+tax_tables!$B$17)</f>
        <v/>
      </c>
      <c r="DG103" s="14">
        <f>X103+BS103+BU103+BW103+DE103+DF103+CA103*household!$B$15*(1-$B$20)+(CY103+BO103)*household!$B$15*tax_tables!$B$18+(BP103+BM103+AK103)*household!$B$15-Z103</f>
        <v/>
      </c>
      <c r="DH103" s="14">
        <f>CE103+CL103+CT103</f>
        <v/>
      </c>
      <c r="DI103" s="14">
        <f>CA103*(1-household!$B$15)*$B$20*(1+tax_tables!$B$17)</f>
        <v/>
      </c>
      <c r="DJ103" s="14">
        <f>Y103+BT103+BV103+BX103+DH103+DI103+CA103*(1-household!$B$15)*(1-$B$20)+(CY103+BO103)*(1-household!$B$15)*tax_tables!$B$18+(BP103+BM103+AK103)*(1-household!$B$15)-AA103</f>
        <v/>
      </c>
      <c r="DK103" s="14">
        <f>IF((DG103&gt;=DJ103),MIN(0.5*(BW103+IF(B103&gt;=65,DE103,0)),MAX(0,(DG103-DJ103)/2)),MIN(0.5*(BX103+IF(C103&gt;=65,DH103,0)),MAX(0,(DJ103-DG103)/2)))</f>
        <v/>
      </c>
      <c r="DL103" s="14">
        <f>DG103+IF((DG103&gt;=DJ103),-DK103,DK103)</f>
        <v/>
      </c>
      <c r="DM103" s="14">
        <f>BW103+IF(B103&gt;=65,DE103,0)+IF((DG103&gt;=DJ103),-DK103,DK103)</f>
        <v/>
      </c>
      <c r="DN103" s="14">
        <f>MIN(BU103,tax_tables!$B$22*MAX(0,DL103-tax_tables!$B$21*P103))</f>
        <v/>
      </c>
      <c r="DO103" s="14">
        <f>MAX(0,DL103-DN103)</f>
        <v/>
      </c>
      <c r="DP103" s="14">
        <f>DJ103+IF((DG103&gt;=DJ103),DK103,-DK103)</f>
        <v/>
      </c>
      <c r="DQ103" s="14">
        <f>BX103+IF(C103&gt;=65,DH103,0)+IF((DG103&gt;=DJ103),DK103,-DK103)</f>
        <v/>
      </c>
      <c r="DR103" s="14">
        <f>MIN(BV103,tax_tables!$B$22*MAX(0,DP103-tax_tables!$B$21*P103))</f>
        <v/>
      </c>
      <c r="DS103" s="14">
        <f>MAX(0,DP103-DR103)</f>
        <v/>
      </c>
      <c r="DT103" s="14">
        <f>BJ103-BD103</f>
        <v/>
      </c>
      <c r="DU103" s="14">
        <f>(tax_tables!$B$6-(tax_tables!$B$6-tax_tables!$B$7)*MIN(1,MAX(0,(DL103-tax_tables!$B$8*P103)/((tax_tables!$B$9-tax_tables!$B$8)*P103))))*P103+(B103&gt;=65)*MAX(0,tax_tables!$B$10*P103-tax_tables!$B$12*MAX(0,DL103-tax_tables!$B$11*P103))+MIN(tax_tables!$B$13,DM103)+MIN(tax_tables!$B$14*P103,X103)+AF103+(DL103&lt;=DP103)*MAX(0,DT103-MIN(0.03*DL103,tax_tables!$B$15*P103))</f>
        <v/>
      </c>
      <c r="DV103" s="14">
        <f>MAX(0,SUMPRODUCT((DO103&gt;tax_tables!$E$5:$E$16*P103)*(DO103-tax_tables!$E$5:$E$16*P103)*tax_tables!$G$5:$G$16)-tax_tables!$B$5*DU103-tax_tables!$B$16*DF103)</f>
        <v/>
      </c>
      <c r="DW103" s="14">
        <f>tax_tables!$B$35*Q103+(B103&gt;=65)*MAX(0,tax_tables!$B$36*Q103-tax_tables!$B$12*MAX(0,DL103-tax_tables!$B$37*Q103))+MIN(tax_tables!$B$38,DM103)+AF103+(DL103&lt;=DP103)*MAX(0,DT103-MIN(0.03*DL103,tax_tables!$B$39*Q103))</f>
        <v/>
      </c>
      <c r="DX103" s="14">
        <f>MAX(0,SUMPRODUCT((DO103&gt;tax_tables!$I$5:$I$16*Q103)*(DO103-tax_tables!$I$5:$I$16*Q103)*tax_tables!$K$5:$K$16)-tax_tables!$B$34*DW103-tax_tables!$B$40*DF103-MAX(0,tax_tables!$B$41*Q103-tax_tables!$B$43*MAX(0,DL103-tax_tables!$B$42*Q103)))</f>
        <v/>
      </c>
      <c r="DY103" s="14">
        <f>(tax_tables!$B$6-(tax_tables!$B$6-tax_tables!$B$7)*MIN(1,MAX(0,(DP103-tax_tables!$B$8*P103)/((tax_tables!$B$9-tax_tables!$B$8)*P103))))*P103+(C103&gt;=65)*MAX(0,tax_tables!$B$10*P103-tax_tables!$B$12*MAX(0,DP103-tax_tables!$B$11*P103))+MIN(tax_tables!$B$13,DQ103)+MIN(tax_tables!$B$14*P103,Y103)+AG103+(DL103&gt;DP103)*MAX(0,DT103-MIN(0.03*DP103,tax_tables!$B$15*P103))</f>
        <v/>
      </c>
      <c r="DZ103" s="14">
        <f>MAX(0,SUMPRODUCT((DS103&gt;tax_tables!$E$5:$E$16*P103)*(DS103-tax_tables!$E$5:$E$16*P103)*tax_tables!$G$5:$G$16)-tax_tables!$B$5*DY103-tax_tables!$B$16*DI103)</f>
        <v/>
      </c>
      <c r="EA103" s="14">
        <f>tax_tables!$B$35*Q103+(C103&gt;=65)*MAX(0,tax_tables!$B$36*Q103-tax_tables!$B$12*MAX(0,DP103-tax_tables!$B$37*Q103))+MIN(tax_tables!$B$38,DQ103)+AG103+(DL103&gt;DP103)*MAX(0,DT103-MIN(0.03*DP103,tax_tables!$B$39*Q103))</f>
        <v/>
      </c>
      <c r="EB103" s="14">
        <f>MAX(0,SUMPRODUCT((DS103&gt;tax_tables!$I$5:$I$16*Q103)*(DS103-tax_tables!$I$5:$I$16*Q103)*tax_tables!$K$5:$K$16)-tax_tables!$B$34*EA103-tax_tables!$B$40*DI103-MAX(0,tax_tables!$B$41*Q103-tax_tables!$B$43*MAX(0,DP103-tax_tables!$B$42*Q103)))</f>
        <v/>
      </c>
      <c r="EC103" s="14">
        <f>DV103+DZ103+DX103+EB103+DN103+DR103</f>
        <v/>
      </c>
      <c r="ED103" s="14">
        <f>CZ103+DB103+DC103+DD103</f>
        <v/>
      </c>
      <c r="EE103" s="14">
        <f>ED103+BQ103-AR103+BR103</f>
        <v/>
      </c>
    </row>
    <row r="104">
      <c r="A104" s="21">
        <f>A103+1</f>
        <v/>
      </c>
      <c r="B104" s="21">
        <f>A104-household!$B$6</f>
        <v/>
      </c>
      <c r="C104" s="21">
        <f>A104-household!$B$9</f>
        <v/>
      </c>
      <c r="D104" s="14">
        <f>AU104+AV104+AW104+AX104+BB104+BJ104+AM104</f>
        <v/>
      </c>
      <c r="E104" s="14">
        <f>CN104+AI104+AH104</f>
        <v/>
      </c>
      <c r="F104" s="14">
        <f>BS104+BT104+BU104+BV104</f>
        <v/>
      </c>
      <c r="G104" s="14">
        <f>CQ104+CR104+CU104+CD104+CE104+CA104-CV104+CJ104+CW104</f>
        <v/>
      </c>
      <c r="H104" s="22">
        <f>IF(BY104+CB104+CC104+CF104&lt;=0,"",G104/(BY104+CB104+CC104+CF104))</f>
        <v/>
      </c>
      <c r="I104" s="23">
        <f>ED104/O104</f>
        <v/>
      </c>
      <c r="J104" s="23">
        <f>EE104/O104</f>
        <v/>
      </c>
      <c r="K104" s="14">
        <f>MAX(0,CP104-CQ104-CR104-CU104)</f>
        <v/>
      </c>
      <c r="L104" s="10" t="n"/>
      <c r="M104" s="22">
        <f>IF(L104="",$B$18,L104)</f>
        <v/>
      </c>
      <c r="N104" s="13" t="n"/>
      <c r="O104" s="12">
        <f>(1+$B$17)^(A104-household!$B$4+1)</f>
        <v/>
      </c>
      <c r="P104" s="12">
        <f>(1+$B$17)^(A104-tax_tables!$B$4)</f>
        <v/>
      </c>
      <c r="Q104" s="12">
        <f>(1+$B$17)^(A104-tax_tables!$B$4-MAX(0,MIN(A104,tax_tables!$B$45)-tax_tables!$B$44+1))</f>
        <v/>
      </c>
      <c r="R104" s="12">
        <f>(1+$B$21)^(A104-household!$B$4+1)</f>
        <v/>
      </c>
      <c r="S104" s="12">
        <f>(1+$B$22)^(A104-household!$B$4+1)</f>
        <v/>
      </c>
      <c r="T104" s="12">
        <f>(1+$B$23)^(A104-household!$B$4+1)</f>
        <v/>
      </c>
      <c r="U104" s="21">
        <f>IF(A104&lt;$B$5,1,0)</f>
        <v/>
      </c>
      <c r="V104" s="21">
        <f>IF(A104&lt;$B$6,1,0)</f>
        <v/>
      </c>
      <c r="W104" s="21">
        <f>IF(U104+V104&gt;0,1,0)</f>
        <v/>
      </c>
      <c r="X104" s="14">
        <f>U104*$B$7*O104+SUMPRODUCT(($B$72:$B$77=A104)*($D$72:$D$77="Wages: person 1")*$C$72:$C$77)*O104</f>
        <v/>
      </c>
      <c r="Y104" s="14">
        <f>V104*$B$8*O104+SUMPRODUCT(($B$72:$B$77=A104)*($D$72:$D$77="Wages: person 2")*$C$72:$C$77)*O104</f>
        <v/>
      </c>
      <c r="Z104" s="14">
        <f>U104*$B$9*O104</f>
        <v/>
      </c>
      <c r="AA104" s="14">
        <f>V104*$B$10*O104</f>
        <v/>
      </c>
      <c r="AB104" s="14">
        <f>U104*$B$11*O104</f>
        <v/>
      </c>
      <c r="AC104" s="14">
        <f>V104*$B$12*O104</f>
        <v/>
      </c>
      <c r="AD104" s="14">
        <f>X104+Y104</f>
        <v/>
      </c>
      <c r="AE104" s="14">
        <f>AD104-Z104-AA104</f>
        <v/>
      </c>
      <c r="AF104" s="14">
        <f>tax_tables!$B$25*MAX(0,MIN(X104,tax_tables!$B$27*P104)-tax_tables!$B$26)+tax_tables!$B$28*MAX(0,MIN(X104,tax_tables!$B$29*P104)-tax_tables!$B$27*P104)+tax_tables!$B$30*MIN(X104,tax_tables!$B$31*P104)</f>
        <v/>
      </c>
      <c r="AG104" s="14">
        <f>tax_tables!$B$25*MAX(0,MIN(Y104,tax_tables!$B$27*P104)-tax_tables!$B$26)+tax_tables!$B$28*MAX(0,MIN(Y104,tax_tables!$B$29*P104)-tax_tables!$B$27*P104)+tax_tables!$B$30*MIN(Y104,tax_tables!$B$31*P104)</f>
        <v/>
      </c>
      <c r="AH104" s="14">
        <f>AF104+AG104</f>
        <v/>
      </c>
      <c r="AI104" s="14">
        <f>$B$13*AE104</f>
        <v/>
      </c>
      <c r="AJ104" s="14">
        <f>AD104-Z104-AA104-AH104-AI104</f>
        <v/>
      </c>
      <c r="AK104" s="14">
        <f>SUMPRODUCT(($B$72:$B$77=A104)*($D$72:$D$77="Other taxable income")*$C$72:$C$77)*O104</f>
        <v/>
      </c>
      <c r="AL104" s="14">
        <f>SUMPRODUCT(($B$72:$B$77=A104)*($D$72:$D$77="Tax-free money in")*$C$72:$C$77)*O104</f>
        <v/>
      </c>
      <c r="AM104" s="14">
        <f>SUMPRODUCT(($B$72:$B$77=A104)*($D$72:$D$77="Expense")*$C$72:$C$77)*O104</f>
        <v/>
      </c>
      <c r="AN104" s="21">
        <f>IF(OR($B$64="",A104&lt;$B$64),1,0)</f>
        <v/>
      </c>
      <c r="AO104" s="14">
        <f>AR103</f>
        <v/>
      </c>
      <c r="AP104" s="14">
        <f>AN104*AO104*properties!$J$2</f>
        <v/>
      </c>
      <c r="AQ104" s="14">
        <f>AN104*MIN(properties!$K$2,AO104+AP104)</f>
        <v/>
      </c>
      <c r="AR104" s="14">
        <f>AN104*(AO104+AP104-AQ104)</f>
        <v/>
      </c>
      <c r="AS104" s="14">
        <f>AN104*properties!$G$2*O104</f>
        <v/>
      </c>
      <c r="AT104" s="14">
        <f>(1-AN104)*$E$64*O104</f>
        <v/>
      </c>
      <c r="AU104" s="14">
        <f>AQ104+AS104+AT104</f>
        <v/>
      </c>
      <c r="AV104" s="14">
        <f>SUMIF(budget!$A$2:$A$300,"household",budget!$F$2:$F$300)*O104*IF(N104="",1,N104)</f>
        <v/>
      </c>
      <c r="AW104" s="14">
        <f>SUMPRODUCT((other_budget!$C$2:$C$30&lt;=A104)*(other_budget!$D$2:$D$30&gt;=A104)*other_budget!$B$2:$B$30)*O104</f>
        <v/>
      </c>
      <c r="AX104" s="14">
        <f>SUMPRODUCT((kids_budget!$D$2:$D$40&lt;=A104)*(kids_budget!$E$2:$E$40&gt;=A104)*(kids_budget!$G$2:$G$40&lt;&gt;"college_funds")*kids_budget!$C$2:$C$40*((kids_budget!$F$2:$F$40="college")*S104+(kids_budget!$F$2:$F$40&lt;&gt;"college")*O104))</f>
        <v/>
      </c>
      <c r="AY104" s="14">
        <f>SUMPRODUCT((kids_budget!$D$2:$D$40&lt;=A104)*(kids_budget!$E$2:$E$40&gt;=A104)*(kids_budget!$G$2:$G$40="college_funds")*kids_budget!$C$2:$C$40*((kids_budget!$F$2:$F$40="college")*S104+(kids_budget!$F$2:$F$40&lt;&gt;"college")*O104))</f>
        <v/>
      </c>
      <c r="AZ104" s="14">
        <f>BC103</f>
        <v/>
      </c>
      <c r="BA104" s="14">
        <f>MIN(AY104,AZ104*(1+M104))</f>
        <v/>
      </c>
      <c r="BB104" s="14">
        <f>AY104-BA104</f>
        <v/>
      </c>
      <c r="BC104" s="14">
        <f>AZ104*(1+M104)-BA104</f>
        <v/>
      </c>
      <c r="BD104" s="14">
        <f>W104*healthcare!$B$2*R104</f>
        <v/>
      </c>
      <c r="BE104" s="21">
        <f>(1-W104)*2</f>
        <v/>
      </c>
      <c r="BF104" s="14">
        <f>BE104*healthcare!$B$3*12*R104</f>
        <v/>
      </c>
      <c r="BG104" s="14">
        <f>BE104*healthcare!$B$4*R104</f>
        <v/>
      </c>
      <c r="BH104" s="21">
        <f>AND(B104&gt;=$B$44,B104&lt;$B$44+$B$45)*1+AND(C104&gt;=$B$46,C104&lt;$B$46+$B$47)*1</f>
        <v/>
      </c>
      <c r="BI104" s="14">
        <f>BH104*$B$48*T104</f>
        <v/>
      </c>
      <c r="BJ104" s="14">
        <f>BD104+BF104+BG104+BI104</f>
        <v/>
      </c>
      <c r="BK104" s="14">
        <f>SUMPRODUCT((1-($B$65:$B$68&gt;0)*(A104&gt;=$B$65:$B$68))*(1-(($C$65:$C$68&gt;0)*(A104&gt;=$C$65:$C$68)))*(properties!$L$3:$L$6-properties!$M$3:$M$6))*O104+SUMPRODUCT((1-($B$65:$B$68&gt;0)*(A104&gt;=$B$65:$B$68))*(($C$65:$C$68&gt;0)*(A104&gt;=$C$65:$C$68))*($D$65:$D$68-$E$65:$E$68))*O104</f>
        <v/>
      </c>
      <c r="BL104" s="14">
        <f>SUMPRODUCT((1-($B$65:$B$68&gt;0)*(A104&gt;=$B$65:$B$68))*properties!$N$3:$N$6*(A104&lt;=properties!$O$3:$O$6))</f>
        <v/>
      </c>
      <c r="BM104" s="14">
        <f>MAX(0,BK104-BL104)</f>
        <v/>
      </c>
      <c r="BN104" s="14">
        <f>SUMPRODUCT(($B$64:$B$68=A104)*$G$64:$G$68)</f>
        <v/>
      </c>
      <c r="BO104" s="14">
        <f>SUMPRODUCT(($B$64:$B$68=A104)*$H$64:$H$68)</f>
        <v/>
      </c>
      <c r="BP104" s="14">
        <f>SUMPRODUCT(($B$64:$B$68=A104)*$I$64:$I$68)</f>
        <v/>
      </c>
      <c r="BQ104" s="14">
        <f>AN104*properties!$C$2*(1+properties!$D$2)^(A104-household!$B$4+1)</f>
        <v/>
      </c>
      <c r="BR104" s="14">
        <f>SUMPRODUCT((1-($B$65:$B$68&gt;0)*(A104&gt;=$B$65:$B$68))*properties!$C$3:$C$6*(1+properties!$D$3:$D$6)^(A104-household!$B$4+1))</f>
        <v/>
      </c>
      <c r="BS104" s="14">
        <f>IF(A104&gt;=household!$B$6+$B$26,household!$B$11*12*$B$30*O104,0)</f>
        <v/>
      </c>
      <c r="BT104" s="14">
        <f>IF(A104&gt;=household!$B$9+$B$27,household!$B$12*12*$B$31*O104,0)</f>
        <v/>
      </c>
      <c r="BU104" s="14">
        <f>IF(A104&gt;=household!$B$6+$B$28,tax_tables!$B$19*12*P104*MIN(1,household!$B$13/40)*$B$32*(1+tax_tables!$B$20*(B104&gt;=75)),0)</f>
        <v/>
      </c>
      <c r="BV104" s="14">
        <f>IF(A104&gt;=household!$B$9+$B$29,tax_tables!$B$19*12*P104*MIN(1,household!$B$14/40)*$B$33*(1+tax_tables!$B$20*(C104&gt;=75)),0)</f>
        <v/>
      </c>
      <c r="BW104" s="14">
        <f>IF(AND($B$36&lt;&gt;0,A104&gt;=household!$B$6+$B$37),$B$36*(1+$B$17)^(MAX(household!$B$6+$B$37,household!$B$4-1)-household!$B$4+1)*(1+$B$40*$B$17)^(A104-MAX(household!$B$6+$B$37,household!$B$4-1)),0)</f>
        <v/>
      </c>
      <c r="BX104" s="14">
        <f>IF(AND($B$38&lt;&gt;0,A104&gt;=household!$B$9+$B$39),$B$38*(1+$B$17)^(MAX(household!$B$9+$B$39,household!$B$4-1)-household!$B$4+1)*(1+$B$40*$B$17)^(A104-MAX(household!$B$9+$B$39,household!$B$4-1)),0)</f>
        <v/>
      </c>
      <c r="BY104" s="14">
        <f>CZ103</f>
        <v/>
      </c>
      <c r="BZ104" s="14">
        <f>DA103</f>
        <v/>
      </c>
      <c r="CA104" s="14">
        <f>$B$19*BY104</f>
        <v/>
      </c>
      <c r="CB104" s="14">
        <f>DB103</f>
        <v/>
      </c>
      <c r="CC104" s="14">
        <f>DC103</f>
        <v/>
      </c>
      <c r="CD104" s="14">
        <f>IF(B104&gt;=tax_tables!$B$46,MAX(0,CB104)*INDEX(tax_tables!$N$5:$N$54,MATCH(MIN(B104-1,120),tax_tables!$M$5:$M$54,0)),0)</f>
        <v/>
      </c>
      <c r="CE104" s="14">
        <f>IF(C104&gt;=tax_tables!$B$46,MAX(0,CC104)*INDEX(tax_tables!$N$5:$N$54,MATCH(MIN(C104-1,120),tax_tables!$M$5:$M$54,0)),0)</f>
        <v/>
      </c>
      <c r="CF104" s="14">
        <f>DD103</f>
        <v/>
      </c>
      <c r="CG104" s="14">
        <f>IF(OR($B$52="",$B$53=""),0,IF(AND(A104&gt;=$B$52,A104&lt;=$B$53),$B$51*O104,0))</f>
        <v/>
      </c>
      <c r="CH104" s="14">
        <f>MAX(0,CB104*(1+M104)-CD104)</f>
        <v/>
      </c>
      <c r="CI104" s="14">
        <f>MAX(0,CC104*(1+M104)-CE104)</f>
        <v/>
      </c>
      <c r="CJ104" s="14">
        <f>MIN(CG104,CH104+CI104)</f>
        <v/>
      </c>
      <c r="CK104" s="14">
        <f>IF(CH104+CI104&gt;1,CJ104*CH104/(CH104+CI104),0)</f>
        <v/>
      </c>
      <c r="CL104" s="14">
        <f>CJ104-CK104</f>
        <v/>
      </c>
      <c r="CM104" s="14">
        <f>CM103-CW103+CU103+tax_tables!$B$32*P104*2</f>
        <v/>
      </c>
      <c r="CN104" s="14">
        <f>EC103-AI103</f>
        <v/>
      </c>
      <c r="CO104" s="14">
        <f>AJ104+F104+BW104+BX104+BK104+CA104+CD104+CE104+BN104+AK104+AL104+CJ104</f>
        <v/>
      </c>
      <c r="CP104" s="14">
        <f>D104+CN104-CO104</f>
        <v/>
      </c>
      <c r="CQ104" s="14">
        <f>MAX(0,MIN(CP104,BY104*(1+M104-$B$19)))</f>
        <v/>
      </c>
      <c r="CR104" s="14">
        <f>MAX(0,MIN(CP104-CQ104,(CH104-CK104)+(CI104-CL104)))</f>
        <v/>
      </c>
      <c r="CS104" s="14">
        <f>IF((CH104-CK104)+(CI104-CL104)&gt;1,CR104*(CH104-CK104)/((CH104-CK104)+(CI104-CL104)),0)</f>
        <v/>
      </c>
      <c r="CT104" s="14">
        <f>CR104-CS104</f>
        <v/>
      </c>
      <c r="CU104" s="14">
        <f>MAX(0,MIN(CP104-CQ104-CR104,CF104*(1+M104)))</f>
        <v/>
      </c>
      <c r="CV104" s="14">
        <f>MAX(0,-CP104)</f>
        <v/>
      </c>
      <c r="CW104" s="14">
        <f>MIN(CV104,MAX(0,CM104))</f>
        <v/>
      </c>
      <c r="CX104" s="22">
        <f>IF(BY104&gt;0,MAX(0,1-BZ104/BY104),0)</f>
        <v/>
      </c>
      <c r="CY104" s="14">
        <f>CQ104*CX104</f>
        <v/>
      </c>
      <c r="CZ104" s="14">
        <f>BY104*(1+M104-$B$19)-CQ104+(CV104-CW104)</f>
        <v/>
      </c>
      <c r="DA104" s="14">
        <f>BZ104-(CQ104-CY104)+(CV104-CW104)</f>
        <v/>
      </c>
      <c r="DB104" s="14">
        <f>CB104*(1+M104)-CD104-CS104-CK104+Z104+AB104</f>
        <v/>
      </c>
      <c r="DC104" s="14">
        <f>CC104*(1+M104)-CE104-CT104-CL104+AA104+AC104</f>
        <v/>
      </c>
      <c r="DD104" s="14">
        <f>CF104*(1+M104)-CU104+CW104</f>
        <v/>
      </c>
      <c r="DE104" s="14">
        <f>CD104+CK104+CS104</f>
        <v/>
      </c>
      <c r="DF104" s="14">
        <f>CA104*household!$B$15*$B$20*(1+tax_tables!$B$17)</f>
        <v/>
      </c>
      <c r="DG104" s="14">
        <f>X104+BS104+BU104+BW104+DE104+DF104+CA104*household!$B$15*(1-$B$20)+(CY104+BO104)*household!$B$15*tax_tables!$B$18+(BP104+BM104+AK104)*household!$B$15-Z104</f>
        <v/>
      </c>
      <c r="DH104" s="14">
        <f>CE104+CL104+CT104</f>
        <v/>
      </c>
      <c r="DI104" s="14">
        <f>CA104*(1-household!$B$15)*$B$20*(1+tax_tables!$B$17)</f>
        <v/>
      </c>
      <c r="DJ104" s="14">
        <f>Y104+BT104+BV104+BX104+DH104+DI104+CA104*(1-household!$B$15)*(1-$B$20)+(CY104+BO104)*(1-household!$B$15)*tax_tables!$B$18+(BP104+BM104+AK104)*(1-household!$B$15)-AA104</f>
        <v/>
      </c>
      <c r="DK104" s="14">
        <f>IF((DG104&gt;=DJ104),MIN(0.5*(BW104+IF(B104&gt;=65,DE104,0)),MAX(0,(DG104-DJ104)/2)),MIN(0.5*(BX104+IF(C104&gt;=65,DH104,0)),MAX(0,(DJ104-DG104)/2)))</f>
        <v/>
      </c>
      <c r="DL104" s="14">
        <f>DG104+IF((DG104&gt;=DJ104),-DK104,DK104)</f>
        <v/>
      </c>
      <c r="DM104" s="14">
        <f>BW104+IF(B104&gt;=65,DE104,0)+IF((DG104&gt;=DJ104),-DK104,DK104)</f>
        <v/>
      </c>
      <c r="DN104" s="14">
        <f>MIN(BU104,tax_tables!$B$22*MAX(0,DL104-tax_tables!$B$21*P104))</f>
        <v/>
      </c>
      <c r="DO104" s="14">
        <f>MAX(0,DL104-DN104)</f>
        <v/>
      </c>
      <c r="DP104" s="14">
        <f>DJ104+IF((DG104&gt;=DJ104),DK104,-DK104)</f>
        <v/>
      </c>
      <c r="DQ104" s="14">
        <f>BX104+IF(C104&gt;=65,DH104,0)+IF((DG104&gt;=DJ104),DK104,-DK104)</f>
        <v/>
      </c>
      <c r="DR104" s="14">
        <f>MIN(BV104,tax_tables!$B$22*MAX(0,DP104-tax_tables!$B$21*P104))</f>
        <v/>
      </c>
      <c r="DS104" s="14">
        <f>MAX(0,DP104-DR104)</f>
        <v/>
      </c>
      <c r="DT104" s="14">
        <f>BJ104-BD104</f>
        <v/>
      </c>
      <c r="DU104" s="14">
        <f>(tax_tables!$B$6-(tax_tables!$B$6-tax_tables!$B$7)*MIN(1,MAX(0,(DL104-tax_tables!$B$8*P104)/((tax_tables!$B$9-tax_tables!$B$8)*P104))))*P104+(B104&gt;=65)*MAX(0,tax_tables!$B$10*P104-tax_tables!$B$12*MAX(0,DL104-tax_tables!$B$11*P104))+MIN(tax_tables!$B$13,DM104)+MIN(tax_tables!$B$14*P104,X104)+AF104+(DL104&lt;=DP104)*MAX(0,DT104-MIN(0.03*DL104,tax_tables!$B$15*P104))</f>
        <v/>
      </c>
      <c r="DV104" s="14">
        <f>MAX(0,SUMPRODUCT((DO104&gt;tax_tables!$E$5:$E$16*P104)*(DO104-tax_tables!$E$5:$E$16*P104)*tax_tables!$G$5:$G$16)-tax_tables!$B$5*DU104-tax_tables!$B$16*DF104)</f>
        <v/>
      </c>
      <c r="DW104" s="14">
        <f>tax_tables!$B$35*Q104+(B104&gt;=65)*MAX(0,tax_tables!$B$36*Q104-tax_tables!$B$12*MAX(0,DL104-tax_tables!$B$37*Q104))+MIN(tax_tables!$B$38,DM104)+AF104+(DL104&lt;=DP104)*MAX(0,DT104-MIN(0.03*DL104,tax_tables!$B$39*Q104))</f>
        <v/>
      </c>
      <c r="DX104" s="14">
        <f>MAX(0,SUMPRODUCT((DO104&gt;tax_tables!$I$5:$I$16*Q104)*(DO104-tax_tables!$I$5:$I$16*Q104)*tax_tables!$K$5:$K$16)-tax_tables!$B$34*DW104-tax_tables!$B$40*DF104-MAX(0,tax_tables!$B$41*Q104-tax_tables!$B$43*MAX(0,DL104-tax_tables!$B$42*Q104)))</f>
        <v/>
      </c>
      <c r="DY104" s="14">
        <f>(tax_tables!$B$6-(tax_tables!$B$6-tax_tables!$B$7)*MIN(1,MAX(0,(DP104-tax_tables!$B$8*P104)/((tax_tables!$B$9-tax_tables!$B$8)*P104))))*P104+(C104&gt;=65)*MAX(0,tax_tables!$B$10*P104-tax_tables!$B$12*MAX(0,DP104-tax_tables!$B$11*P104))+MIN(tax_tables!$B$13,DQ104)+MIN(tax_tables!$B$14*P104,Y104)+AG104+(DL104&gt;DP104)*MAX(0,DT104-MIN(0.03*DP104,tax_tables!$B$15*P104))</f>
        <v/>
      </c>
      <c r="DZ104" s="14">
        <f>MAX(0,SUMPRODUCT((DS104&gt;tax_tables!$E$5:$E$16*P104)*(DS104-tax_tables!$E$5:$E$16*P104)*tax_tables!$G$5:$G$16)-tax_tables!$B$5*DY104-tax_tables!$B$16*DI104)</f>
        <v/>
      </c>
      <c r="EA104" s="14">
        <f>tax_tables!$B$35*Q104+(C104&gt;=65)*MAX(0,tax_tables!$B$36*Q104-tax_tables!$B$12*MAX(0,DP104-tax_tables!$B$37*Q104))+MIN(tax_tables!$B$38,DQ104)+AG104+(DL104&gt;DP104)*MAX(0,DT104-MIN(0.03*DP104,tax_tables!$B$39*Q104))</f>
        <v/>
      </c>
      <c r="EB104" s="14">
        <f>MAX(0,SUMPRODUCT((DS104&gt;tax_tables!$I$5:$I$16*Q104)*(DS104-tax_tables!$I$5:$I$16*Q104)*tax_tables!$K$5:$K$16)-tax_tables!$B$34*EA104-tax_tables!$B$40*DI104-MAX(0,tax_tables!$B$41*Q104-tax_tables!$B$43*MAX(0,DP104-tax_tables!$B$42*Q104)))</f>
        <v/>
      </c>
      <c r="EC104" s="14">
        <f>DV104+DZ104+DX104+EB104+DN104+DR104</f>
        <v/>
      </c>
      <c r="ED104" s="14">
        <f>CZ104+DB104+DC104+DD104</f>
        <v/>
      </c>
      <c r="EE104" s="14">
        <f>ED104+BQ104-AR104+BR104</f>
        <v/>
      </c>
    </row>
    <row r="105">
      <c r="A105" s="21">
        <f>A104+1</f>
        <v/>
      </c>
      <c r="B105" s="21">
        <f>A105-household!$B$6</f>
        <v/>
      </c>
      <c r="C105" s="21">
        <f>A105-household!$B$9</f>
        <v/>
      </c>
      <c r="D105" s="14">
        <f>AU105+AV105+AW105+AX105+BB105+BJ105+AM105</f>
        <v/>
      </c>
      <c r="E105" s="14">
        <f>CN105+AI105+AH105</f>
        <v/>
      </c>
      <c r="F105" s="14">
        <f>BS105+BT105+BU105+BV105</f>
        <v/>
      </c>
      <c r="G105" s="14">
        <f>CQ105+CR105+CU105+CD105+CE105+CA105-CV105+CJ105+CW105</f>
        <v/>
      </c>
      <c r="H105" s="22">
        <f>IF(BY105+CB105+CC105+CF105&lt;=0,"",G105/(BY105+CB105+CC105+CF105))</f>
        <v/>
      </c>
      <c r="I105" s="23">
        <f>ED105/O105</f>
        <v/>
      </c>
      <c r="J105" s="23">
        <f>EE105/O105</f>
        <v/>
      </c>
      <c r="K105" s="14">
        <f>MAX(0,CP105-CQ105-CR105-CU105)</f>
        <v/>
      </c>
      <c r="L105" s="10" t="n"/>
      <c r="M105" s="22">
        <f>IF(L105="",$B$18,L105)</f>
        <v/>
      </c>
      <c r="N105" s="13" t="n"/>
      <c r="O105" s="12">
        <f>(1+$B$17)^(A105-household!$B$4+1)</f>
        <v/>
      </c>
      <c r="P105" s="12">
        <f>(1+$B$17)^(A105-tax_tables!$B$4)</f>
        <v/>
      </c>
      <c r="Q105" s="12">
        <f>(1+$B$17)^(A105-tax_tables!$B$4-MAX(0,MIN(A105,tax_tables!$B$45)-tax_tables!$B$44+1))</f>
        <v/>
      </c>
      <c r="R105" s="12">
        <f>(1+$B$21)^(A105-household!$B$4+1)</f>
        <v/>
      </c>
      <c r="S105" s="12">
        <f>(1+$B$22)^(A105-household!$B$4+1)</f>
        <v/>
      </c>
      <c r="T105" s="12">
        <f>(1+$B$23)^(A105-household!$B$4+1)</f>
        <v/>
      </c>
      <c r="U105" s="21">
        <f>IF(A105&lt;$B$5,1,0)</f>
        <v/>
      </c>
      <c r="V105" s="21">
        <f>IF(A105&lt;$B$6,1,0)</f>
        <v/>
      </c>
      <c r="W105" s="21">
        <f>IF(U105+V105&gt;0,1,0)</f>
        <v/>
      </c>
      <c r="X105" s="14">
        <f>U105*$B$7*O105+SUMPRODUCT(($B$72:$B$77=A105)*($D$72:$D$77="Wages: person 1")*$C$72:$C$77)*O105</f>
        <v/>
      </c>
      <c r="Y105" s="14">
        <f>V105*$B$8*O105+SUMPRODUCT(($B$72:$B$77=A105)*($D$72:$D$77="Wages: person 2")*$C$72:$C$77)*O105</f>
        <v/>
      </c>
      <c r="Z105" s="14">
        <f>U105*$B$9*O105</f>
        <v/>
      </c>
      <c r="AA105" s="14">
        <f>V105*$B$10*O105</f>
        <v/>
      </c>
      <c r="AB105" s="14">
        <f>U105*$B$11*O105</f>
        <v/>
      </c>
      <c r="AC105" s="14">
        <f>V105*$B$12*O105</f>
        <v/>
      </c>
      <c r="AD105" s="14">
        <f>X105+Y105</f>
        <v/>
      </c>
      <c r="AE105" s="14">
        <f>AD105-Z105-AA105</f>
        <v/>
      </c>
      <c r="AF105" s="14">
        <f>tax_tables!$B$25*MAX(0,MIN(X105,tax_tables!$B$27*P105)-tax_tables!$B$26)+tax_tables!$B$28*MAX(0,MIN(X105,tax_tables!$B$29*P105)-tax_tables!$B$27*P105)+tax_tables!$B$30*MIN(X105,tax_tables!$B$31*P105)</f>
        <v/>
      </c>
      <c r="AG105" s="14">
        <f>tax_tables!$B$25*MAX(0,MIN(Y105,tax_tables!$B$27*P105)-tax_tables!$B$26)+tax_tables!$B$28*MAX(0,MIN(Y105,tax_tables!$B$29*P105)-tax_tables!$B$27*P105)+tax_tables!$B$30*MIN(Y105,tax_tables!$B$31*P105)</f>
        <v/>
      </c>
      <c r="AH105" s="14">
        <f>AF105+AG105</f>
        <v/>
      </c>
      <c r="AI105" s="14">
        <f>$B$13*AE105</f>
        <v/>
      </c>
      <c r="AJ105" s="14">
        <f>AD105-Z105-AA105-AH105-AI105</f>
        <v/>
      </c>
      <c r="AK105" s="14">
        <f>SUMPRODUCT(($B$72:$B$77=A105)*($D$72:$D$77="Other taxable income")*$C$72:$C$77)*O105</f>
        <v/>
      </c>
      <c r="AL105" s="14">
        <f>SUMPRODUCT(($B$72:$B$77=A105)*($D$72:$D$77="Tax-free money in")*$C$72:$C$77)*O105</f>
        <v/>
      </c>
      <c r="AM105" s="14">
        <f>SUMPRODUCT(($B$72:$B$77=A105)*($D$72:$D$77="Expense")*$C$72:$C$77)*O105</f>
        <v/>
      </c>
      <c r="AN105" s="21">
        <f>IF(OR($B$64="",A105&lt;$B$64),1,0)</f>
        <v/>
      </c>
      <c r="AO105" s="14">
        <f>AR104</f>
        <v/>
      </c>
      <c r="AP105" s="14">
        <f>AN105*AO105*properties!$J$2</f>
        <v/>
      </c>
      <c r="AQ105" s="14">
        <f>AN105*MIN(properties!$K$2,AO105+AP105)</f>
        <v/>
      </c>
      <c r="AR105" s="14">
        <f>AN105*(AO105+AP105-AQ105)</f>
        <v/>
      </c>
      <c r="AS105" s="14">
        <f>AN105*properties!$G$2*O105</f>
        <v/>
      </c>
      <c r="AT105" s="14">
        <f>(1-AN105)*$E$64*O105</f>
        <v/>
      </c>
      <c r="AU105" s="14">
        <f>AQ105+AS105+AT105</f>
        <v/>
      </c>
      <c r="AV105" s="14">
        <f>SUMIF(budget!$A$2:$A$300,"household",budget!$F$2:$F$300)*O105*IF(N105="",1,N105)</f>
        <v/>
      </c>
      <c r="AW105" s="14">
        <f>SUMPRODUCT((other_budget!$C$2:$C$30&lt;=A105)*(other_budget!$D$2:$D$30&gt;=A105)*other_budget!$B$2:$B$30)*O105</f>
        <v/>
      </c>
      <c r="AX105" s="14">
        <f>SUMPRODUCT((kids_budget!$D$2:$D$40&lt;=A105)*(kids_budget!$E$2:$E$40&gt;=A105)*(kids_budget!$G$2:$G$40&lt;&gt;"college_funds")*kids_budget!$C$2:$C$40*((kids_budget!$F$2:$F$40="college")*S105+(kids_budget!$F$2:$F$40&lt;&gt;"college")*O105))</f>
        <v/>
      </c>
      <c r="AY105" s="14">
        <f>SUMPRODUCT((kids_budget!$D$2:$D$40&lt;=A105)*(kids_budget!$E$2:$E$40&gt;=A105)*(kids_budget!$G$2:$G$40="college_funds")*kids_budget!$C$2:$C$40*((kids_budget!$F$2:$F$40="college")*S105+(kids_budget!$F$2:$F$40&lt;&gt;"college")*O105))</f>
        <v/>
      </c>
      <c r="AZ105" s="14">
        <f>BC104</f>
        <v/>
      </c>
      <c r="BA105" s="14">
        <f>MIN(AY105,AZ105*(1+M105))</f>
        <v/>
      </c>
      <c r="BB105" s="14">
        <f>AY105-BA105</f>
        <v/>
      </c>
      <c r="BC105" s="14">
        <f>AZ105*(1+M105)-BA105</f>
        <v/>
      </c>
      <c r="BD105" s="14">
        <f>W105*healthcare!$B$2*R105</f>
        <v/>
      </c>
      <c r="BE105" s="21">
        <f>(1-W105)*2</f>
        <v/>
      </c>
      <c r="BF105" s="14">
        <f>BE105*healthcare!$B$3*12*R105</f>
        <v/>
      </c>
      <c r="BG105" s="14">
        <f>BE105*healthcare!$B$4*R105</f>
        <v/>
      </c>
      <c r="BH105" s="21">
        <f>AND(B105&gt;=$B$44,B105&lt;$B$44+$B$45)*1+AND(C105&gt;=$B$46,C105&lt;$B$46+$B$47)*1</f>
        <v/>
      </c>
      <c r="BI105" s="14">
        <f>BH105*$B$48*T105</f>
        <v/>
      </c>
      <c r="BJ105" s="14">
        <f>BD105+BF105+BG105+BI105</f>
        <v/>
      </c>
      <c r="BK105" s="14">
        <f>SUMPRODUCT((1-($B$65:$B$68&gt;0)*(A105&gt;=$B$65:$B$68))*(1-(($C$65:$C$68&gt;0)*(A105&gt;=$C$65:$C$68)))*(properties!$L$3:$L$6-properties!$M$3:$M$6))*O105+SUMPRODUCT((1-($B$65:$B$68&gt;0)*(A105&gt;=$B$65:$B$68))*(($C$65:$C$68&gt;0)*(A105&gt;=$C$65:$C$68))*($D$65:$D$68-$E$65:$E$68))*O105</f>
        <v/>
      </c>
      <c r="BL105" s="14">
        <f>SUMPRODUCT((1-($B$65:$B$68&gt;0)*(A105&gt;=$B$65:$B$68))*properties!$N$3:$N$6*(A105&lt;=properties!$O$3:$O$6))</f>
        <v/>
      </c>
      <c r="BM105" s="14">
        <f>MAX(0,BK105-BL105)</f>
        <v/>
      </c>
      <c r="BN105" s="14">
        <f>SUMPRODUCT(($B$64:$B$68=A105)*$G$64:$G$68)</f>
        <v/>
      </c>
      <c r="BO105" s="14">
        <f>SUMPRODUCT(($B$64:$B$68=A105)*$H$64:$H$68)</f>
        <v/>
      </c>
      <c r="BP105" s="14">
        <f>SUMPRODUCT(($B$64:$B$68=A105)*$I$64:$I$68)</f>
        <v/>
      </c>
      <c r="BQ105" s="14">
        <f>AN105*properties!$C$2*(1+properties!$D$2)^(A105-household!$B$4+1)</f>
        <v/>
      </c>
      <c r="BR105" s="14">
        <f>SUMPRODUCT((1-($B$65:$B$68&gt;0)*(A105&gt;=$B$65:$B$68))*properties!$C$3:$C$6*(1+properties!$D$3:$D$6)^(A105-household!$B$4+1))</f>
        <v/>
      </c>
      <c r="BS105" s="14">
        <f>IF(A105&gt;=household!$B$6+$B$26,household!$B$11*12*$B$30*O105,0)</f>
        <v/>
      </c>
      <c r="BT105" s="14">
        <f>IF(A105&gt;=household!$B$9+$B$27,household!$B$12*12*$B$31*O105,0)</f>
        <v/>
      </c>
      <c r="BU105" s="14">
        <f>IF(A105&gt;=household!$B$6+$B$28,tax_tables!$B$19*12*P105*MIN(1,household!$B$13/40)*$B$32*(1+tax_tables!$B$20*(B105&gt;=75)),0)</f>
        <v/>
      </c>
      <c r="BV105" s="14">
        <f>IF(A105&gt;=household!$B$9+$B$29,tax_tables!$B$19*12*P105*MIN(1,household!$B$14/40)*$B$33*(1+tax_tables!$B$20*(C105&gt;=75)),0)</f>
        <v/>
      </c>
      <c r="BW105" s="14">
        <f>IF(AND($B$36&lt;&gt;0,A105&gt;=household!$B$6+$B$37),$B$36*(1+$B$17)^(MAX(household!$B$6+$B$37,household!$B$4-1)-household!$B$4+1)*(1+$B$40*$B$17)^(A105-MAX(household!$B$6+$B$37,household!$B$4-1)),0)</f>
        <v/>
      </c>
      <c r="BX105" s="14">
        <f>IF(AND($B$38&lt;&gt;0,A105&gt;=household!$B$9+$B$39),$B$38*(1+$B$17)^(MAX(household!$B$9+$B$39,household!$B$4-1)-household!$B$4+1)*(1+$B$40*$B$17)^(A105-MAX(household!$B$9+$B$39,household!$B$4-1)),0)</f>
        <v/>
      </c>
      <c r="BY105" s="14">
        <f>CZ104</f>
        <v/>
      </c>
      <c r="BZ105" s="14">
        <f>DA104</f>
        <v/>
      </c>
      <c r="CA105" s="14">
        <f>$B$19*BY105</f>
        <v/>
      </c>
      <c r="CB105" s="14">
        <f>DB104</f>
        <v/>
      </c>
      <c r="CC105" s="14">
        <f>DC104</f>
        <v/>
      </c>
      <c r="CD105" s="14">
        <f>IF(B105&gt;=tax_tables!$B$46,MAX(0,CB105)*INDEX(tax_tables!$N$5:$N$54,MATCH(MIN(B105-1,120),tax_tables!$M$5:$M$54,0)),0)</f>
        <v/>
      </c>
      <c r="CE105" s="14">
        <f>IF(C105&gt;=tax_tables!$B$46,MAX(0,CC105)*INDEX(tax_tables!$N$5:$N$54,MATCH(MIN(C105-1,120),tax_tables!$M$5:$M$54,0)),0)</f>
        <v/>
      </c>
      <c r="CF105" s="14">
        <f>DD104</f>
        <v/>
      </c>
      <c r="CG105" s="14">
        <f>IF(OR($B$52="",$B$53=""),0,IF(AND(A105&gt;=$B$52,A105&lt;=$B$53),$B$51*O105,0))</f>
        <v/>
      </c>
      <c r="CH105" s="14">
        <f>MAX(0,CB105*(1+M105)-CD105)</f>
        <v/>
      </c>
      <c r="CI105" s="14">
        <f>MAX(0,CC105*(1+M105)-CE105)</f>
        <v/>
      </c>
      <c r="CJ105" s="14">
        <f>MIN(CG105,CH105+CI105)</f>
        <v/>
      </c>
      <c r="CK105" s="14">
        <f>IF(CH105+CI105&gt;1,CJ105*CH105/(CH105+CI105),0)</f>
        <v/>
      </c>
      <c r="CL105" s="14">
        <f>CJ105-CK105</f>
        <v/>
      </c>
      <c r="CM105" s="14">
        <f>CM104-CW104+CU104+tax_tables!$B$32*P105*2</f>
        <v/>
      </c>
      <c r="CN105" s="14">
        <f>EC104-AI104</f>
        <v/>
      </c>
      <c r="CO105" s="14">
        <f>AJ105+F105+BW105+BX105+BK105+CA105+CD105+CE105+BN105+AK105+AL105+CJ105</f>
        <v/>
      </c>
      <c r="CP105" s="14">
        <f>D105+CN105-CO105</f>
        <v/>
      </c>
      <c r="CQ105" s="14">
        <f>MAX(0,MIN(CP105,BY105*(1+M105-$B$19)))</f>
        <v/>
      </c>
      <c r="CR105" s="14">
        <f>MAX(0,MIN(CP105-CQ105,(CH105-CK105)+(CI105-CL105)))</f>
        <v/>
      </c>
      <c r="CS105" s="14">
        <f>IF((CH105-CK105)+(CI105-CL105)&gt;1,CR105*(CH105-CK105)/((CH105-CK105)+(CI105-CL105)),0)</f>
        <v/>
      </c>
      <c r="CT105" s="14">
        <f>CR105-CS105</f>
        <v/>
      </c>
      <c r="CU105" s="14">
        <f>MAX(0,MIN(CP105-CQ105-CR105,CF105*(1+M105)))</f>
        <v/>
      </c>
      <c r="CV105" s="14">
        <f>MAX(0,-CP105)</f>
        <v/>
      </c>
      <c r="CW105" s="14">
        <f>MIN(CV105,MAX(0,CM105))</f>
        <v/>
      </c>
      <c r="CX105" s="22">
        <f>IF(BY105&gt;0,MAX(0,1-BZ105/BY105),0)</f>
        <v/>
      </c>
      <c r="CY105" s="14">
        <f>CQ105*CX105</f>
        <v/>
      </c>
      <c r="CZ105" s="14">
        <f>BY105*(1+M105-$B$19)-CQ105+(CV105-CW105)</f>
        <v/>
      </c>
      <c r="DA105" s="14">
        <f>BZ105-(CQ105-CY105)+(CV105-CW105)</f>
        <v/>
      </c>
      <c r="DB105" s="14">
        <f>CB105*(1+M105)-CD105-CS105-CK105+Z105+AB105</f>
        <v/>
      </c>
      <c r="DC105" s="14">
        <f>CC105*(1+M105)-CE105-CT105-CL105+AA105+AC105</f>
        <v/>
      </c>
      <c r="DD105" s="14">
        <f>CF105*(1+M105)-CU105+CW105</f>
        <v/>
      </c>
      <c r="DE105" s="14">
        <f>CD105+CK105+CS105</f>
        <v/>
      </c>
      <c r="DF105" s="14">
        <f>CA105*household!$B$15*$B$20*(1+tax_tables!$B$17)</f>
        <v/>
      </c>
      <c r="DG105" s="14">
        <f>X105+BS105+BU105+BW105+DE105+DF105+CA105*household!$B$15*(1-$B$20)+(CY105+BO105)*household!$B$15*tax_tables!$B$18+(BP105+BM105+AK105)*household!$B$15-Z105</f>
        <v/>
      </c>
      <c r="DH105" s="14">
        <f>CE105+CL105+CT105</f>
        <v/>
      </c>
      <c r="DI105" s="14">
        <f>CA105*(1-household!$B$15)*$B$20*(1+tax_tables!$B$17)</f>
        <v/>
      </c>
      <c r="DJ105" s="14">
        <f>Y105+BT105+BV105+BX105+DH105+DI105+CA105*(1-household!$B$15)*(1-$B$20)+(CY105+BO105)*(1-household!$B$15)*tax_tables!$B$18+(BP105+BM105+AK105)*(1-household!$B$15)-AA105</f>
        <v/>
      </c>
      <c r="DK105" s="14">
        <f>IF((DG105&gt;=DJ105),MIN(0.5*(BW105+IF(B105&gt;=65,DE105,0)),MAX(0,(DG105-DJ105)/2)),MIN(0.5*(BX105+IF(C105&gt;=65,DH105,0)),MAX(0,(DJ105-DG105)/2)))</f>
        <v/>
      </c>
      <c r="DL105" s="14">
        <f>DG105+IF((DG105&gt;=DJ105),-DK105,DK105)</f>
        <v/>
      </c>
      <c r="DM105" s="14">
        <f>BW105+IF(B105&gt;=65,DE105,0)+IF((DG105&gt;=DJ105),-DK105,DK105)</f>
        <v/>
      </c>
      <c r="DN105" s="14">
        <f>MIN(BU105,tax_tables!$B$22*MAX(0,DL105-tax_tables!$B$21*P105))</f>
        <v/>
      </c>
      <c r="DO105" s="14">
        <f>MAX(0,DL105-DN105)</f>
        <v/>
      </c>
      <c r="DP105" s="14">
        <f>DJ105+IF((DG105&gt;=DJ105),DK105,-DK105)</f>
        <v/>
      </c>
      <c r="DQ105" s="14">
        <f>BX105+IF(C105&gt;=65,DH105,0)+IF((DG105&gt;=DJ105),DK105,-DK105)</f>
        <v/>
      </c>
      <c r="DR105" s="14">
        <f>MIN(BV105,tax_tables!$B$22*MAX(0,DP105-tax_tables!$B$21*P105))</f>
        <v/>
      </c>
      <c r="DS105" s="14">
        <f>MAX(0,DP105-DR105)</f>
        <v/>
      </c>
      <c r="DT105" s="14">
        <f>BJ105-BD105</f>
        <v/>
      </c>
      <c r="DU105" s="14">
        <f>(tax_tables!$B$6-(tax_tables!$B$6-tax_tables!$B$7)*MIN(1,MAX(0,(DL105-tax_tables!$B$8*P105)/((tax_tables!$B$9-tax_tables!$B$8)*P105))))*P105+(B105&gt;=65)*MAX(0,tax_tables!$B$10*P105-tax_tables!$B$12*MAX(0,DL105-tax_tables!$B$11*P105))+MIN(tax_tables!$B$13,DM105)+MIN(tax_tables!$B$14*P105,X105)+AF105+(DL105&lt;=DP105)*MAX(0,DT105-MIN(0.03*DL105,tax_tables!$B$15*P105))</f>
        <v/>
      </c>
      <c r="DV105" s="14">
        <f>MAX(0,SUMPRODUCT((DO105&gt;tax_tables!$E$5:$E$16*P105)*(DO105-tax_tables!$E$5:$E$16*P105)*tax_tables!$G$5:$G$16)-tax_tables!$B$5*DU105-tax_tables!$B$16*DF105)</f>
        <v/>
      </c>
      <c r="DW105" s="14">
        <f>tax_tables!$B$35*Q105+(B105&gt;=65)*MAX(0,tax_tables!$B$36*Q105-tax_tables!$B$12*MAX(0,DL105-tax_tables!$B$37*Q105))+MIN(tax_tables!$B$38,DM105)+AF105+(DL105&lt;=DP105)*MAX(0,DT105-MIN(0.03*DL105,tax_tables!$B$39*Q105))</f>
        <v/>
      </c>
      <c r="DX105" s="14">
        <f>MAX(0,SUMPRODUCT((DO105&gt;tax_tables!$I$5:$I$16*Q105)*(DO105-tax_tables!$I$5:$I$16*Q105)*tax_tables!$K$5:$K$16)-tax_tables!$B$34*DW105-tax_tables!$B$40*DF105-MAX(0,tax_tables!$B$41*Q105-tax_tables!$B$43*MAX(0,DL105-tax_tables!$B$42*Q105)))</f>
        <v/>
      </c>
      <c r="DY105" s="14">
        <f>(tax_tables!$B$6-(tax_tables!$B$6-tax_tables!$B$7)*MIN(1,MAX(0,(DP105-tax_tables!$B$8*P105)/((tax_tables!$B$9-tax_tables!$B$8)*P105))))*P105+(C105&gt;=65)*MAX(0,tax_tables!$B$10*P105-tax_tables!$B$12*MAX(0,DP105-tax_tables!$B$11*P105))+MIN(tax_tables!$B$13,DQ105)+MIN(tax_tables!$B$14*P105,Y105)+AG105+(DL105&gt;DP105)*MAX(0,DT105-MIN(0.03*DP105,tax_tables!$B$15*P105))</f>
        <v/>
      </c>
      <c r="DZ105" s="14">
        <f>MAX(0,SUMPRODUCT((DS105&gt;tax_tables!$E$5:$E$16*P105)*(DS105-tax_tables!$E$5:$E$16*P105)*tax_tables!$G$5:$G$16)-tax_tables!$B$5*DY105-tax_tables!$B$16*DI105)</f>
        <v/>
      </c>
      <c r="EA105" s="14">
        <f>tax_tables!$B$35*Q105+(C105&gt;=65)*MAX(0,tax_tables!$B$36*Q105-tax_tables!$B$12*MAX(0,DP105-tax_tables!$B$37*Q105))+MIN(tax_tables!$B$38,DQ105)+AG105+(DL105&gt;DP105)*MAX(0,DT105-MIN(0.03*DP105,tax_tables!$B$39*Q105))</f>
        <v/>
      </c>
      <c r="EB105" s="14">
        <f>MAX(0,SUMPRODUCT((DS105&gt;tax_tables!$I$5:$I$16*Q105)*(DS105-tax_tables!$I$5:$I$16*Q105)*tax_tables!$K$5:$K$16)-tax_tables!$B$34*EA105-tax_tables!$B$40*DI105-MAX(0,tax_tables!$B$41*Q105-tax_tables!$B$43*MAX(0,DP105-tax_tables!$B$42*Q105)))</f>
        <v/>
      </c>
      <c r="EC105" s="14">
        <f>DV105+DZ105+DX105+EB105+DN105+DR105</f>
        <v/>
      </c>
      <c r="ED105" s="14">
        <f>CZ105+DB105+DC105+DD105</f>
        <v/>
      </c>
      <c r="EE105" s="14">
        <f>ED105+BQ105-AR105+BR105</f>
        <v/>
      </c>
    </row>
    <row r="106">
      <c r="A106" s="21">
        <f>A105+1</f>
        <v/>
      </c>
      <c r="B106" s="21">
        <f>A106-household!$B$6</f>
        <v/>
      </c>
      <c r="C106" s="21">
        <f>A106-household!$B$9</f>
        <v/>
      </c>
      <c r="D106" s="14">
        <f>AU106+AV106+AW106+AX106+BB106+BJ106+AM106</f>
        <v/>
      </c>
      <c r="E106" s="14">
        <f>CN106+AI106+AH106</f>
        <v/>
      </c>
      <c r="F106" s="14">
        <f>BS106+BT106+BU106+BV106</f>
        <v/>
      </c>
      <c r="G106" s="14">
        <f>CQ106+CR106+CU106+CD106+CE106+CA106-CV106+CJ106+CW106</f>
        <v/>
      </c>
      <c r="H106" s="22">
        <f>IF(BY106+CB106+CC106+CF106&lt;=0,"",G106/(BY106+CB106+CC106+CF106))</f>
        <v/>
      </c>
      <c r="I106" s="23">
        <f>ED106/O106</f>
        <v/>
      </c>
      <c r="J106" s="23">
        <f>EE106/O106</f>
        <v/>
      </c>
      <c r="K106" s="14">
        <f>MAX(0,CP106-CQ106-CR106-CU106)</f>
        <v/>
      </c>
      <c r="L106" s="10" t="n"/>
      <c r="M106" s="22">
        <f>IF(L106="",$B$18,L106)</f>
        <v/>
      </c>
      <c r="N106" s="13" t="n"/>
      <c r="O106" s="12">
        <f>(1+$B$17)^(A106-household!$B$4+1)</f>
        <v/>
      </c>
      <c r="P106" s="12">
        <f>(1+$B$17)^(A106-tax_tables!$B$4)</f>
        <v/>
      </c>
      <c r="Q106" s="12">
        <f>(1+$B$17)^(A106-tax_tables!$B$4-MAX(0,MIN(A106,tax_tables!$B$45)-tax_tables!$B$44+1))</f>
        <v/>
      </c>
      <c r="R106" s="12">
        <f>(1+$B$21)^(A106-household!$B$4+1)</f>
        <v/>
      </c>
      <c r="S106" s="12">
        <f>(1+$B$22)^(A106-household!$B$4+1)</f>
        <v/>
      </c>
      <c r="T106" s="12">
        <f>(1+$B$23)^(A106-household!$B$4+1)</f>
        <v/>
      </c>
      <c r="U106" s="21">
        <f>IF(A106&lt;$B$5,1,0)</f>
        <v/>
      </c>
      <c r="V106" s="21">
        <f>IF(A106&lt;$B$6,1,0)</f>
        <v/>
      </c>
      <c r="W106" s="21">
        <f>IF(U106+V106&gt;0,1,0)</f>
        <v/>
      </c>
      <c r="X106" s="14">
        <f>U106*$B$7*O106+SUMPRODUCT(($B$72:$B$77=A106)*($D$72:$D$77="Wages: person 1")*$C$72:$C$77)*O106</f>
        <v/>
      </c>
      <c r="Y106" s="14">
        <f>V106*$B$8*O106+SUMPRODUCT(($B$72:$B$77=A106)*($D$72:$D$77="Wages: person 2")*$C$72:$C$77)*O106</f>
        <v/>
      </c>
      <c r="Z106" s="14">
        <f>U106*$B$9*O106</f>
        <v/>
      </c>
      <c r="AA106" s="14">
        <f>V106*$B$10*O106</f>
        <v/>
      </c>
      <c r="AB106" s="14">
        <f>U106*$B$11*O106</f>
        <v/>
      </c>
      <c r="AC106" s="14">
        <f>V106*$B$12*O106</f>
        <v/>
      </c>
      <c r="AD106" s="14">
        <f>X106+Y106</f>
        <v/>
      </c>
      <c r="AE106" s="14">
        <f>AD106-Z106-AA106</f>
        <v/>
      </c>
      <c r="AF106" s="14">
        <f>tax_tables!$B$25*MAX(0,MIN(X106,tax_tables!$B$27*P106)-tax_tables!$B$26)+tax_tables!$B$28*MAX(0,MIN(X106,tax_tables!$B$29*P106)-tax_tables!$B$27*P106)+tax_tables!$B$30*MIN(X106,tax_tables!$B$31*P106)</f>
        <v/>
      </c>
      <c r="AG106" s="14">
        <f>tax_tables!$B$25*MAX(0,MIN(Y106,tax_tables!$B$27*P106)-tax_tables!$B$26)+tax_tables!$B$28*MAX(0,MIN(Y106,tax_tables!$B$29*P106)-tax_tables!$B$27*P106)+tax_tables!$B$30*MIN(Y106,tax_tables!$B$31*P106)</f>
        <v/>
      </c>
      <c r="AH106" s="14">
        <f>AF106+AG106</f>
        <v/>
      </c>
      <c r="AI106" s="14">
        <f>$B$13*AE106</f>
        <v/>
      </c>
      <c r="AJ106" s="14">
        <f>AD106-Z106-AA106-AH106-AI106</f>
        <v/>
      </c>
      <c r="AK106" s="14">
        <f>SUMPRODUCT(($B$72:$B$77=A106)*($D$72:$D$77="Other taxable income")*$C$72:$C$77)*O106</f>
        <v/>
      </c>
      <c r="AL106" s="14">
        <f>SUMPRODUCT(($B$72:$B$77=A106)*($D$72:$D$77="Tax-free money in")*$C$72:$C$77)*O106</f>
        <v/>
      </c>
      <c r="AM106" s="14">
        <f>SUMPRODUCT(($B$72:$B$77=A106)*($D$72:$D$77="Expense")*$C$72:$C$77)*O106</f>
        <v/>
      </c>
      <c r="AN106" s="21">
        <f>IF(OR($B$64="",A106&lt;$B$64),1,0)</f>
        <v/>
      </c>
      <c r="AO106" s="14">
        <f>AR105</f>
        <v/>
      </c>
      <c r="AP106" s="14">
        <f>AN106*AO106*properties!$J$2</f>
        <v/>
      </c>
      <c r="AQ106" s="14">
        <f>AN106*MIN(properties!$K$2,AO106+AP106)</f>
        <v/>
      </c>
      <c r="AR106" s="14">
        <f>AN106*(AO106+AP106-AQ106)</f>
        <v/>
      </c>
      <c r="AS106" s="14">
        <f>AN106*properties!$G$2*O106</f>
        <v/>
      </c>
      <c r="AT106" s="14">
        <f>(1-AN106)*$E$64*O106</f>
        <v/>
      </c>
      <c r="AU106" s="14">
        <f>AQ106+AS106+AT106</f>
        <v/>
      </c>
      <c r="AV106" s="14">
        <f>SUMIF(budget!$A$2:$A$300,"household",budget!$F$2:$F$300)*O106*IF(N106="",1,N106)</f>
        <v/>
      </c>
      <c r="AW106" s="14">
        <f>SUMPRODUCT((other_budget!$C$2:$C$30&lt;=A106)*(other_budget!$D$2:$D$30&gt;=A106)*other_budget!$B$2:$B$30)*O106</f>
        <v/>
      </c>
      <c r="AX106" s="14">
        <f>SUMPRODUCT((kids_budget!$D$2:$D$40&lt;=A106)*(kids_budget!$E$2:$E$40&gt;=A106)*(kids_budget!$G$2:$G$40&lt;&gt;"college_funds")*kids_budget!$C$2:$C$40*((kids_budget!$F$2:$F$40="college")*S106+(kids_budget!$F$2:$F$40&lt;&gt;"college")*O106))</f>
        <v/>
      </c>
      <c r="AY106" s="14">
        <f>SUMPRODUCT((kids_budget!$D$2:$D$40&lt;=A106)*(kids_budget!$E$2:$E$40&gt;=A106)*(kids_budget!$G$2:$G$40="college_funds")*kids_budget!$C$2:$C$40*((kids_budget!$F$2:$F$40="college")*S106+(kids_budget!$F$2:$F$40&lt;&gt;"college")*O106))</f>
        <v/>
      </c>
      <c r="AZ106" s="14">
        <f>BC105</f>
        <v/>
      </c>
      <c r="BA106" s="14">
        <f>MIN(AY106,AZ106*(1+M106))</f>
        <v/>
      </c>
      <c r="BB106" s="14">
        <f>AY106-BA106</f>
        <v/>
      </c>
      <c r="BC106" s="14">
        <f>AZ106*(1+M106)-BA106</f>
        <v/>
      </c>
      <c r="BD106" s="14">
        <f>W106*healthcare!$B$2*R106</f>
        <v/>
      </c>
      <c r="BE106" s="21">
        <f>(1-W106)*2</f>
        <v/>
      </c>
      <c r="BF106" s="14">
        <f>BE106*healthcare!$B$3*12*R106</f>
        <v/>
      </c>
      <c r="BG106" s="14">
        <f>BE106*healthcare!$B$4*R106</f>
        <v/>
      </c>
      <c r="BH106" s="21">
        <f>AND(B106&gt;=$B$44,B106&lt;$B$44+$B$45)*1+AND(C106&gt;=$B$46,C106&lt;$B$46+$B$47)*1</f>
        <v/>
      </c>
      <c r="BI106" s="14">
        <f>BH106*$B$48*T106</f>
        <v/>
      </c>
      <c r="BJ106" s="14">
        <f>BD106+BF106+BG106+BI106</f>
        <v/>
      </c>
      <c r="BK106" s="14">
        <f>SUMPRODUCT((1-($B$65:$B$68&gt;0)*(A106&gt;=$B$65:$B$68))*(1-(($C$65:$C$68&gt;0)*(A106&gt;=$C$65:$C$68)))*(properties!$L$3:$L$6-properties!$M$3:$M$6))*O106+SUMPRODUCT((1-($B$65:$B$68&gt;0)*(A106&gt;=$B$65:$B$68))*(($C$65:$C$68&gt;0)*(A106&gt;=$C$65:$C$68))*($D$65:$D$68-$E$65:$E$68))*O106</f>
        <v/>
      </c>
      <c r="BL106" s="14">
        <f>SUMPRODUCT((1-($B$65:$B$68&gt;0)*(A106&gt;=$B$65:$B$68))*properties!$N$3:$N$6*(A106&lt;=properties!$O$3:$O$6))</f>
        <v/>
      </c>
      <c r="BM106" s="14">
        <f>MAX(0,BK106-BL106)</f>
        <v/>
      </c>
      <c r="BN106" s="14">
        <f>SUMPRODUCT(($B$64:$B$68=A106)*$G$64:$G$68)</f>
        <v/>
      </c>
      <c r="BO106" s="14">
        <f>SUMPRODUCT(($B$64:$B$68=A106)*$H$64:$H$68)</f>
        <v/>
      </c>
      <c r="BP106" s="14">
        <f>SUMPRODUCT(($B$64:$B$68=A106)*$I$64:$I$68)</f>
        <v/>
      </c>
      <c r="BQ106" s="14">
        <f>AN106*properties!$C$2*(1+properties!$D$2)^(A106-household!$B$4+1)</f>
        <v/>
      </c>
      <c r="BR106" s="14">
        <f>SUMPRODUCT((1-($B$65:$B$68&gt;0)*(A106&gt;=$B$65:$B$68))*properties!$C$3:$C$6*(1+properties!$D$3:$D$6)^(A106-household!$B$4+1))</f>
        <v/>
      </c>
      <c r="BS106" s="14">
        <f>IF(A106&gt;=household!$B$6+$B$26,household!$B$11*12*$B$30*O106,0)</f>
        <v/>
      </c>
      <c r="BT106" s="14">
        <f>IF(A106&gt;=household!$B$9+$B$27,household!$B$12*12*$B$31*O106,0)</f>
        <v/>
      </c>
      <c r="BU106" s="14">
        <f>IF(A106&gt;=household!$B$6+$B$28,tax_tables!$B$19*12*P106*MIN(1,household!$B$13/40)*$B$32*(1+tax_tables!$B$20*(B106&gt;=75)),0)</f>
        <v/>
      </c>
      <c r="BV106" s="14">
        <f>IF(A106&gt;=household!$B$9+$B$29,tax_tables!$B$19*12*P106*MIN(1,household!$B$14/40)*$B$33*(1+tax_tables!$B$20*(C106&gt;=75)),0)</f>
        <v/>
      </c>
      <c r="BW106" s="14">
        <f>IF(AND($B$36&lt;&gt;0,A106&gt;=household!$B$6+$B$37),$B$36*(1+$B$17)^(MAX(household!$B$6+$B$37,household!$B$4-1)-household!$B$4+1)*(1+$B$40*$B$17)^(A106-MAX(household!$B$6+$B$37,household!$B$4-1)),0)</f>
        <v/>
      </c>
      <c r="BX106" s="14">
        <f>IF(AND($B$38&lt;&gt;0,A106&gt;=household!$B$9+$B$39),$B$38*(1+$B$17)^(MAX(household!$B$9+$B$39,household!$B$4-1)-household!$B$4+1)*(1+$B$40*$B$17)^(A106-MAX(household!$B$9+$B$39,household!$B$4-1)),0)</f>
        <v/>
      </c>
      <c r="BY106" s="14">
        <f>CZ105</f>
        <v/>
      </c>
      <c r="BZ106" s="14">
        <f>DA105</f>
        <v/>
      </c>
      <c r="CA106" s="14">
        <f>$B$19*BY106</f>
        <v/>
      </c>
      <c r="CB106" s="14">
        <f>DB105</f>
        <v/>
      </c>
      <c r="CC106" s="14">
        <f>DC105</f>
        <v/>
      </c>
      <c r="CD106" s="14">
        <f>IF(B106&gt;=tax_tables!$B$46,MAX(0,CB106)*INDEX(tax_tables!$N$5:$N$54,MATCH(MIN(B106-1,120),tax_tables!$M$5:$M$54,0)),0)</f>
        <v/>
      </c>
      <c r="CE106" s="14">
        <f>IF(C106&gt;=tax_tables!$B$46,MAX(0,CC106)*INDEX(tax_tables!$N$5:$N$54,MATCH(MIN(C106-1,120),tax_tables!$M$5:$M$54,0)),0)</f>
        <v/>
      </c>
      <c r="CF106" s="14">
        <f>DD105</f>
        <v/>
      </c>
      <c r="CG106" s="14">
        <f>IF(OR($B$52="",$B$53=""),0,IF(AND(A106&gt;=$B$52,A106&lt;=$B$53),$B$51*O106,0))</f>
        <v/>
      </c>
      <c r="CH106" s="14">
        <f>MAX(0,CB106*(1+M106)-CD106)</f>
        <v/>
      </c>
      <c r="CI106" s="14">
        <f>MAX(0,CC106*(1+M106)-CE106)</f>
        <v/>
      </c>
      <c r="CJ106" s="14">
        <f>MIN(CG106,CH106+CI106)</f>
        <v/>
      </c>
      <c r="CK106" s="14">
        <f>IF(CH106+CI106&gt;1,CJ106*CH106/(CH106+CI106),0)</f>
        <v/>
      </c>
      <c r="CL106" s="14">
        <f>CJ106-CK106</f>
        <v/>
      </c>
      <c r="CM106" s="14">
        <f>CM105-CW105+CU105+tax_tables!$B$32*P106*2</f>
        <v/>
      </c>
      <c r="CN106" s="14">
        <f>EC105-AI105</f>
        <v/>
      </c>
      <c r="CO106" s="14">
        <f>AJ106+F106+BW106+BX106+BK106+CA106+CD106+CE106+BN106+AK106+AL106+CJ106</f>
        <v/>
      </c>
      <c r="CP106" s="14">
        <f>D106+CN106-CO106</f>
        <v/>
      </c>
      <c r="CQ106" s="14">
        <f>MAX(0,MIN(CP106,BY106*(1+M106-$B$19)))</f>
        <v/>
      </c>
      <c r="CR106" s="14">
        <f>MAX(0,MIN(CP106-CQ106,(CH106-CK106)+(CI106-CL106)))</f>
        <v/>
      </c>
      <c r="CS106" s="14">
        <f>IF((CH106-CK106)+(CI106-CL106)&gt;1,CR106*(CH106-CK106)/((CH106-CK106)+(CI106-CL106)),0)</f>
        <v/>
      </c>
      <c r="CT106" s="14">
        <f>CR106-CS106</f>
        <v/>
      </c>
      <c r="CU106" s="14">
        <f>MAX(0,MIN(CP106-CQ106-CR106,CF106*(1+M106)))</f>
        <v/>
      </c>
      <c r="CV106" s="14">
        <f>MAX(0,-CP106)</f>
        <v/>
      </c>
      <c r="CW106" s="14">
        <f>MIN(CV106,MAX(0,CM106))</f>
        <v/>
      </c>
      <c r="CX106" s="22">
        <f>IF(BY106&gt;0,MAX(0,1-BZ106/BY106),0)</f>
        <v/>
      </c>
      <c r="CY106" s="14">
        <f>CQ106*CX106</f>
        <v/>
      </c>
      <c r="CZ106" s="14">
        <f>BY106*(1+M106-$B$19)-CQ106+(CV106-CW106)</f>
        <v/>
      </c>
      <c r="DA106" s="14">
        <f>BZ106-(CQ106-CY106)+(CV106-CW106)</f>
        <v/>
      </c>
      <c r="DB106" s="14">
        <f>CB106*(1+M106)-CD106-CS106-CK106+Z106+AB106</f>
        <v/>
      </c>
      <c r="DC106" s="14">
        <f>CC106*(1+M106)-CE106-CT106-CL106+AA106+AC106</f>
        <v/>
      </c>
      <c r="DD106" s="14">
        <f>CF106*(1+M106)-CU106+CW106</f>
        <v/>
      </c>
      <c r="DE106" s="14">
        <f>CD106+CK106+CS106</f>
        <v/>
      </c>
      <c r="DF106" s="14">
        <f>CA106*household!$B$15*$B$20*(1+tax_tables!$B$17)</f>
        <v/>
      </c>
      <c r="DG106" s="14">
        <f>X106+BS106+BU106+BW106+DE106+DF106+CA106*household!$B$15*(1-$B$20)+(CY106+BO106)*household!$B$15*tax_tables!$B$18+(BP106+BM106+AK106)*household!$B$15-Z106</f>
        <v/>
      </c>
      <c r="DH106" s="14">
        <f>CE106+CL106+CT106</f>
        <v/>
      </c>
      <c r="DI106" s="14">
        <f>CA106*(1-household!$B$15)*$B$20*(1+tax_tables!$B$17)</f>
        <v/>
      </c>
      <c r="DJ106" s="14">
        <f>Y106+BT106+BV106+BX106+DH106+DI106+CA106*(1-household!$B$15)*(1-$B$20)+(CY106+BO106)*(1-household!$B$15)*tax_tables!$B$18+(BP106+BM106+AK106)*(1-household!$B$15)-AA106</f>
        <v/>
      </c>
      <c r="DK106" s="14">
        <f>IF((DG106&gt;=DJ106),MIN(0.5*(BW106+IF(B106&gt;=65,DE106,0)),MAX(0,(DG106-DJ106)/2)),MIN(0.5*(BX106+IF(C106&gt;=65,DH106,0)),MAX(0,(DJ106-DG106)/2)))</f>
        <v/>
      </c>
      <c r="DL106" s="14">
        <f>DG106+IF((DG106&gt;=DJ106),-DK106,DK106)</f>
        <v/>
      </c>
      <c r="DM106" s="14">
        <f>BW106+IF(B106&gt;=65,DE106,0)+IF((DG106&gt;=DJ106),-DK106,DK106)</f>
        <v/>
      </c>
      <c r="DN106" s="14">
        <f>MIN(BU106,tax_tables!$B$22*MAX(0,DL106-tax_tables!$B$21*P106))</f>
        <v/>
      </c>
      <c r="DO106" s="14">
        <f>MAX(0,DL106-DN106)</f>
        <v/>
      </c>
      <c r="DP106" s="14">
        <f>DJ106+IF((DG106&gt;=DJ106),DK106,-DK106)</f>
        <v/>
      </c>
      <c r="DQ106" s="14">
        <f>BX106+IF(C106&gt;=65,DH106,0)+IF((DG106&gt;=DJ106),DK106,-DK106)</f>
        <v/>
      </c>
      <c r="DR106" s="14">
        <f>MIN(BV106,tax_tables!$B$22*MAX(0,DP106-tax_tables!$B$21*P106))</f>
        <v/>
      </c>
      <c r="DS106" s="14">
        <f>MAX(0,DP106-DR106)</f>
        <v/>
      </c>
      <c r="DT106" s="14">
        <f>BJ106-BD106</f>
        <v/>
      </c>
      <c r="DU106" s="14">
        <f>(tax_tables!$B$6-(tax_tables!$B$6-tax_tables!$B$7)*MIN(1,MAX(0,(DL106-tax_tables!$B$8*P106)/((tax_tables!$B$9-tax_tables!$B$8)*P106))))*P106+(B106&gt;=65)*MAX(0,tax_tables!$B$10*P106-tax_tables!$B$12*MAX(0,DL106-tax_tables!$B$11*P106))+MIN(tax_tables!$B$13,DM106)+MIN(tax_tables!$B$14*P106,X106)+AF106+(DL106&lt;=DP106)*MAX(0,DT106-MIN(0.03*DL106,tax_tables!$B$15*P106))</f>
        <v/>
      </c>
      <c r="DV106" s="14">
        <f>MAX(0,SUMPRODUCT((DO106&gt;tax_tables!$E$5:$E$16*P106)*(DO106-tax_tables!$E$5:$E$16*P106)*tax_tables!$G$5:$G$16)-tax_tables!$B$5*DU106-tax_tables!$B$16*DF106)</f>
        <v/>
      </c>
      <c r="DW106" s="14">
        <f>tax_tables!$B$35*Q106+(B106&gt;=65)*MAX(0,tax_tables!$B$36*Q106-tax_tables!$B$12*MAX(0,DL106-tax_tables!$B$37*Q106))+MIN(tax_tables!$B$38,DM106)+AF106+(DL106&lt;=DP106)*MAX(0,DT106-MIN(0.03*DL106,tax_tables!$B$39*Q106))</f>
        <v/>
      </c>
      <c r="DX106" s="14">
        <f>MAX(0,SUMPRODUCT((DO106&gt;tax_tables!$I$5:$I$16*Q106)*(DO106-tax_tables!$I$5:$I$16*Q106)*tax_tables!$K$5:$K$16)-tax_tables!$B$34*DW106-tax_tables!$B$40*DF106-MAX(0,tax_tables!$B$41*Q106-tax_tables!$B$43*MAX(0,DL106-tax_tables!$B$42*Q106)))</f>
        <v/>
      </c>
      <c r="DY106" s="14">
        <f>(tax_tables!$B$6-(tax_tables!$B$6-tax_tables!$B$7)*MIN(1,MAX(0,(DP106-tax_tables!$B$8*P106)/((tax_tables!$B$9-tax_tables!$B$8)*P106))))*P106+(C106&gt;=65)*MAX(0,tax_tables!$B$10*P106-tax_tables!$B$12*MAX(0,DP106-tax_tables!$B$11*P106))+MIN(tax_tables!$B$13,DQ106)+MIN(tax_tables!$B$14*P106,Y106)+AG106+(DL106&gt;DP106)*MAX(0,DT106-MIN(0.03*DP106,tax_tables!$B$15*P106))</f>
        <v/>
      </c>
      <c r="DZ106" s="14">
        <f>MAX(0,SUMPRODUCT((DS106&gt;tax_tables!$E$5:$E$16*P106)*(DS106-tax_tables!$E$5:$E$16*P106)*tax_tables!$G$5:$G$16)-tax_tables!$B$5*DY106-tax_tables!$B$16*DI106)</f>
        <v/>
      </c>
      <c r="EA106" s="14">
        <f>tax_tables!$B$35*Q106+(C106&gt;=65)*MAX(0,tax_tables!$B$36*Q106-tax_tables!$B$12*MAX(0,DP106-tax_tables!$B$37*Q106))+MIN(tax_tables!$B$38,DQ106)+AG106+(DL106&gt;DP106)*MAX(0,DT106-MIN(0.03*DP106,tax_tables!$B$39*Q106))</f>
        <v/>
      </c>
      <c r="EB106" s="14">
        <f>MAX(0,SUMPRODUCT((DS106&gt;tax_tables!$I$5:$I$16*Q106)*(DS106-tax_tables!$I$5:$I$16*Q106)*tax_tables!$K$5:$K$16)-tax_tables!$B$34*EA106-tax_tables!$B$40*DI106-MAX(0,tax_tables!$B$41*Q106-tax_tables!$B$43*MAX(0,DP106-tax_tables!$B$42*Q106)))</f>
        <v/>
      </c>
      <c r="EC106" s="14">
        <f>DV106+DZ106+DX106+EB106+DN106+DR106</f>
        <v/>
      </c>
      <c r="ED106" s="14">
        <f>CZ106+DB106+DC106+DD106</f>
        <v/>
      </c>
      <c r="EE106" s="14">
        <f>ED106+BQ106-AR106+BR106</f>
        <v/>
      </c>
    </row>
    <row r="107">
      <c r="A107" s="21">
        <f>A106+1</f>
        <v/>
      </c>
      <c r="B107" s="21">
        <f>A107-household!$B$6</f>
        <v/>
      </c>
      <c r="C107" s="21">
        <f>A107-household!$B$9</f>
        <v/>
      </c>
      <c r="D107" s="14">
        <f>AU107+AV107+AW107+AX107+BB107+BJ107+AM107</f>
        <v/>
      </c>
      <c r="E107" s="14">
        <f>CN107+AI107+AH107</f>
        <v/>
      </c>
      <c r="F107" s="14">
        <f>BS107+BT107+BU107+BV107</f>
        <v/>
      </c>
      <c r="G107" s="14">
        <f>CQ107+CR107+CU107+CD107+CE107+CA107-CV107+CJ107+CW107</f>
        <v/>
      </c>
      <c r="H107" s="22">
        <f>IF(BY107+CB107+CC107+CF107&lt;=0,"",G107/(BY107+CB107+CC107+CF107))</f>
        <v/>
      </c>
      <c r="I107" s="23">
        <f>ED107/O107</f>
        <v/>
      </c>
      <c r="J107" s="23">
        <f>EE107/O107</f>
        <v/>
      </c>
      <c r="K107" s="14">
        <f>MAX(0,CP107-CQ107-CR107-CU107)</f>
        <v/>
      </c>
      <c r="L107" s="10" t="n"/>
      <c r="M107" s="22">
        <f>IF(L107="",$B$18,L107)</f>
        <v/>
      </c>
      <c r="N107" s="13" t="n"/>
      <c r="O107" s="12">
        <f>(1+$B$17)^(A107-household!$B$4+1)</f>
        <v/>
      </c>
      <c r="P107" s="12">
        <f>(1+$B$17)^(A107-tax_tables!$B$4)</f>
        <v/>
      </c>
      <c r="Q107" s="12">
        <f>(1+$B$17)^(A107-tax_tables!$B$4-MAX(0,MIN(A107,tax_tables!$B$45)-tax_tables!$B$44+1))</f>
        <v/>
      </c>
      <c r="R107" s="12">
        <f>(1+$B$21)^(A107-household!$B$4+1)</f>
        <v/>
      </c>
      <c r="S107" s="12">
        <f>(1+$B$22)^(A107-household!$B$4+1)</f>
        <v/>
      </c>
      <c r="T107" s="12">
        <f>(1+$B$23)^(A107-household!$B$4+1)</f>
        <v/>
      </c>
      <c r="U107" s="21">
        <f>IF(A107&lt;$B$5,1,0)</f>
        <v/>
      </c>
      <c r="V107" s="21">
        <f>IF(A107&lt;$B$6,1,0)</f>
        <v/>
      </c>
      <c r="W107" s="21">
        <f>IF(U107+V107&gt;0,1,0)</f>
        <v/>
      </c>
      <c r="X107" s="14">
        <f>U107*$B$7*O107+SUMPRODUCT(($B$72:$B$77=A107)*($D$72:$D$77="Wages: person 1")*$C$72:$C$77)*O107</f>
        <v/>
      </c>
      <c r="Y107" s="14">
        <f>V107*$B$8*O107+SUMPRODUCT(($B$72:$B$77=A107)*($D$72:$D$77="Wages: person 2")*$C$72:$C$77)*O107</f>
        <v/>
      </c>
      <c r="Z107" s="14">
        <f>U107*$B$9*O107</f>
        <v/>
      </c>
      <c r="AA107" s="14">
        <f>V107*$B$10*O107</f>
        <v/>
      </c>
      <c r="AB107" s="14">
        <f>U107*$B$11*O107</f>
        <v/>
      </c>
      <c r="AC107" s="14">
        <f>V107*$B$12*O107</f>
        <v/>
      </c>
      <c r="AD107" s="14">
        <f>X107+Y107</f>
        <v/>
      </c>
      <c r="AE107" s="14">
        <f>AD107-Z107-AA107</f>
        <v/>
      </c>
      <c r="AF107" s="14">
        <f>tax_tables!$B$25*MAX(0,MIN(X107,tax_tables!$B$27*P107)-tax_tables!$B$26)+tax_tables!$B$28*MAX(0,MIN(X107,tax_tables!$B$29*P107)-tax_tables!$B$27*P107)+tax_tables!$B$30*MIN(X107,tax_tables!$B$31*P107)</f>
        <v/>
      </c>
      <c r="AG107" s="14">
        <f>tax_tables!$B$25*MAX(0,MIN(Y107,tax_tables!$B$27*P107)-tax_tables!$B$26)+tax_tables!$B$28*MAX(0,MIN(Y107,tax_tables!$B$29*P107)-tax_tables!$B$27*P107)+tax_tables!$B$30*MIN(Y107,tax_tables!$B$31*P107)</f>
        <v/>
      </c>
      <c r="AH107" s="14">
        <f>AF107+AG107</f>
        <v/>
      </c>
      <c r="AI107" s="14">
        <f>$B$13*AE107</f>
        <v/>
      </c>
      <c r="AJ107" s="14">
        <f>AD107-Z107-AA107-AH107-AI107</f>
        <v/>
      </c>
      <c r="AK107" s="14">
        <f>SUMPRODUCT(($B$72:$B$77=A107)*($D$72:$D$77="Other taxable income")*$C$72:$C$77)*O107</f>
        <v/>
      </c>
      <c r="AL107" s="14">
        <f>SUMPRODUCT(($B$72:$B$77=A107)*($D$72:$D$77="Tax-free money in")*$C$72:$C$77)*O107</f>
        <v/>
      </c>
      <c r="AM107" s="14">
        <f>SUMPRODUCT(($B$72:$B$77=A107)*($D$72:$D$77="Expense")*$C$72:$C$77)*O107</f>
        <v/>
      </c>
      <c r="AN107" s="21">
        <f>IF(OR($B$64="",A107&lt;$B$64),1,0)</f>
        <v/>
      </c>
      <c r="AO107" s="14">
        <f>AR106</f>
        <v/>
      </c>
      <c r="AP107" s="14">
        <f>AN107*AO107*properties!$J$2</f>
        <v/>
      </c>
      <c r="AQ107" s="14">
        <f>AN107*MIN(properties!$K$2,AO107+AP107)</f>
        <v/>
      </c>
      <c r="AR107" s="14">
        <f>AN107*(AO107+AP107-AQ107)</f>
        <v/>
      </c>
      <c r="AS107" s="14">
        <f>AN107*properties!$G$2*O107</f>
        <v/>
      </c>
      <c r="AT107" s="14">
        <f>(1-AN107)*$E$64*O107</f>
        <v/>
      </c>
      <c r="AU107" s="14">
        <f>AQ107+AS107+AT107</f>
        <v/>
      </c>
      <c r="AV107" s="14">
        <f>SUMIF(budget!$A$2:$A$300,"household",budget!$F$2:$F$300)*O107*IF(N107="",1,N107)</f>
        <v/>
      </c>
      <c r="AW107" s="14">
        <f>SUMPRODUCT((other_budget!$C$2:$C$30&lt;=A107)*(other_budget!$D$2:$D$30&gt;=A107)*other_budget!$B$2:$B$30)*O107</f>
        <v/>
      </c>
      <c r="AX107" s="14">
        <f>SUMPRODUCT((kids_budget!$D$2:$D$40&lt;=A107)*(kids_budget!$E$2:$E$40&gt;=A107)*(kids_budget!$G$2:$G$40&lt;&gt;"college_funds")*kids_budget!$C$2:$C$40*((kids_budget!$F$2:$F$40="college")*S107+(kids_budget!$F$2:$F$40&lt;&gt;"college")*O107))</f>
        <v/>
      </c>
      <c r="AY107" s="14">
        <f>SUMPRODUCT((kids_budget!$D$2:$D$40&lt;=A107)*(kids_budget!$E$2:$E$40&gt;=A107)*(kids_budget!$G$2:$G$40="college_funds")*kids_budget!$C$2:$C$40*((kids_budget!$F$2:$F$40="college")*S107+(kids_budget!$F$2:$F$40&lt;&gt;"college")*O107))</f>
        <v/>
      </c>
      <c r="AZ107" s="14">
        <f>BC106</f>
        <v/>
      </c>
      <c r="BA107" s="14">
        <f>MIN(AY107,AZ107*(1+M107))</f>
        <v/>
      </c>
      <c r="BB107" s="14">
        <f>AY107-BA107</f>
        <v/>
      </c>
      <c r="BC107" s="14">
        <f>AZ107*(1+M107)-BA107</f>
        <v/>
      </c>
      <c r="BD107" s="14">
        <f>W107*healthcare!$B$2*R107</f>
        <v/>
      </c>
      <c r="BE107" s="21">
        <f>(1-W107)*2</f>
        <v/>
      </c>
      <c r="BF107" s="14">
        <f>BE107*healthcare!$B$3*12*R107</f>
        <v/>
      </c>
      <c r="BG107" s="14">
        <f>BE107*healthcare!$B$4*R107</f>
        <v/>
      </c>
      <c r="BH107" s="21">
        <f>AND(B107&gt;=$B$44,B107&lt;$B$44+$B$45)*1+AND(C107&gt;=$B$46,C107&lt;$B$46+$B$47)*1</f>
        <v/>
      </c>
      <c r="BI107" s="14">
        <f>BH107*$B$48*T107</f>
        <v/>
      </c>
      <c r="BJ107" s="14">
        <f>BD107+BF107+BG107+BI107</f>
        <v/>
      </c>
      <c r="BK107" s="14">
        <f>SUMPRODUCT((1-($B$65:$B$68&gt;0)*(A107&gt;=$B$65:$B$68))*(1-(($C$65:$C$68&gt;0)*(A107&gt;=$C$65:$C$68)))*(properties!$L$3:$L$6-properties!$M$3:$M$6))*O107+SUMPRODUCT((1-($B$65:$B$68&gt;0)*(A107&gt;=$B$65:$B$68))*(($C$65:$C$68&gt;0)*(A107&gt;=$C$65:$C$68))*($D$65:$D$68-$E$65:$E$68))*O107</f>
        <v/>
      </c>
      <c r="BL107" s="14">
        <f>SUMPRODUCT((1-($B$65:$B$68&gt;0)*(A107&gt;=$B$65:$B$68))*properties!$N$3:$N$6*(A107&lt;=properties!$O$3:$O$6))</f>
        <v/>
      </c>
      <c r="BM107" s="14">
        <f>MAX(0,BK107-BL107)</f>
        <v/>
      </c>
      <c r="BN107" s="14">
        <f>SUMPRODUCT(($B$64:$B$68=A107)*$G$64:$G$68)</f>
        <v/>
      </c>
      <c r="BO107" s="14">
        <f>SUMPRODUCT(($B$64:$B$68=A107)*$H$64:$H$68)</f>
        <v/>
      </c>
      <c r="BP107" s="14">
        <f>SUMPRODUCT(($B$64:$B$68=A107)*$I$64:$I$68)</f>
        <v/>
      </c>
      <c r="BQ107" s="14">
        <f>AN107*properties!$C$2*(1+properties!$D$2)^(A107-household!$B$4+1)</f>
        <v/>
      </c>
      <c r="BR107" s="14">
        <f>SUMPRODUCT((1-($B$65:$B$68&gt;0)*(A107&gt;=$B$65:$B$68))*properties!$C$3:$C$6*(1+properties!$D$3:$D$6)^(A107-household!$B$4+1))</f>
        <v/>
      </c>
      <c r="BS107" s="14">
        <f>IF(A107&gt;=household!$B$6+$B$26,household!$B$11*12*$B$30*O107,0)</f>
        <v/>
      </c>
      <c r="BT107" s="14">
        <f>IF(A107&gt;=household!$B$9+$B$27,household!$B$12*12*$B$31*O107,0)</f>
        <v/>
      </c>
      <c r="BU107" s="14">
        <f>IF(A107&gt;=household!$B$6+$B$28,tax_tables!$B$19*12*P107*MIN(1,household!$B$13/40)*$B$32*(1+tax_tables!$B$20*(B107&gt;=75)),0)</f>
        <v/>
      </c>
      <c r="BV107" s="14">
        <f>IF(A107&gt;=household!$B$9+$B$29,tax_tables!$B$19*12*P107*MIN(1,household!$B$14/40)*$B$33*(1+tax_tables!$B$20*(C107&gt;=75)),0)</f>
        <v/>
      </c>
      <c r="BW107" s="14">
        <f>IF(AND($B$36&lt;&gt;0,A107&gt;=household!$B$6+$B$37),$B$36*(1+$B$17)^(MAX(household!$B$6+$B$37,household!$B$4-1)-household!$B$4+1)*(1+$B$40*$B$17)^(A107-MAX(household!$B$6+$B$37,household!$B$4-1)),0)</f>
        <v/>
      </c>
      <c r="BX107" s="14">
        <f>IF(AND($B$38&lt;&gt;0,A107&gt;=household!$B$9+$B$39),$B$38*(1+$B$17)^(MAX(household!$B$9+$B$39,household!$B$4-1)-household!$B$4+1)*(1+$B$40*$B$17)^(A107-MAX(household!$B$9+$B$39,household!$B$4-1)),0)</f>
        <v/>
      </c>
      <c r="BY107" s="14">
        <f>CZ106</f>
        <v/>
      </c>
      <c r="BZ107" s="14">
        <f>DA106</f>
        <v/>
      </c>
      <c r="CA107" s="14">
        <f>$B$19*BY107</f>
        <v/>
      </c>
      <c r="CB107" s="14">
        <f>DB106</f>
        <v/>
      </c>
      <c r="CC107" s="14">
        <f>DC106</f>
        <v/>
      </c>
      <c r="CD107" s="14">
        <f>IF(B107&gt;=tax_tables!$B$46,MAX(0,CB107)*INDEX(tax_tables!$N$5:$N$54,MATCH(MIN(B107-1,120),tax_tables!$M$5:$M$54,0)),0)</f>
        <v/>
      </c>
      <c r="CE107" s="14">
        <f>IF(C107&gt;=tax_tables!$B$46,MAX(0,CC107)*INDEX(tax_tables!$N$5:$N$54,MATCH(MIN(C107-1,120),tax_tables!$M$5:$M$54,0)),0)</f>
        <v/>
      </c>
      <c r="CF107" s="14">
        <f>DD106</f>
        <v/>
      </c>
      <c r="CG107" s="14">
        <f>IF(OR($B$52="",$B$53=""),0,IF(AND(A107&gt;=$B$52,A107&lt;=$B$53),$B$51*O107,0))</f>
        <v/>
      </c>
      <c r="CH107" s="14">
        <f>MAX(0,CB107*(1+M107)-CD107)</f>
        <v/>
      </c>
      <c r="CI107" s="14">
        <f>MAX(0,CC107*(1+M107)-CE107)</f>
        <v/>
      </c>
      <c r="CJ107" s="14">
        <f>MIN(CG107,CH107+CI107)</f>
        <v/>
      </c>
      <c r="CK107" s="14">
        <f>IF(CH107+CI107&gt;1,CJ107*CH107/(CH107+CI107),0)</f>
        <v/>
      </c>
      <c r="CL107" s="14">
        <f>CJ107-CK107</f>
        <v/>
      </c>
      <c r="CM107" s="14">
        <f>CM106-CW106+CU106+tax_tables!$B$32*P107*2</f>
        <v/>
      </c>
      <c r="CN107" s="14">
        <f>EC106-AI106</f>
        <v/>
      </c>
      <c r="CO107" s="14">
        <f>AJ107+F107+BW107+BX107+BK107+CA107+CD107+CE107+BN107+AK107+AL107+CJ107</f>
        <v/>
      </c>
      <c r="CP107" s="14">
        <f>D107+CN107-CO107</f>
        <v/>
      </c>
      <c r="CQ107" s="14">
        <f>MAX(0,MIN(CP107,BY107*(1+M107-$B$19)))</f>
        <v/>
      </c>
      <c r="CR107" s="14">
        <f>MAX(0,MIN(CP107-CQ107,(CH107-CK107)+(CI107-CL107)))</f>
        <v/>
      </c>
      <c r="CS107" s="14">
        <f>IF((CH107-CK107)+(CI107-CL107)&gt;1,CR107*(CH107-CK107)/((CH107-CK107)+(CI107-CL107)),0)</f>
        <v/>
      </c>
      <c r="CT107" s="14">
        <f>CR107-CS107</f>
        <v/>
      </c>
      <c r="CU107" s="14">
        <f>MAX(0,MIN(CP107-CQ107-CR107,CF107*(1+M107)))</f>
        <v/>
      </c>
      <c r="CV107" s="14">
        <f>MAX(0,-CP107)</f>
        <v/>
      </c>
      <c r="CW107" s="14">
        <f>MIN(CV107,MAX(0,CM107))</f>
        <v/>
      </c>
      <c r="CX107" s="22">
        <f>IF(BY107&gt;0,MAX(0,1-BZ107/BY107),0)</f>
        <v/>
      </c>
      <c r="CY107" s="14">
        <f>CQ107*CX107</f>
        <v/>
      </c>
      <c r="CZ107" s="14">
        <f>BY107*(1+M107-$B$19)-CQ107+(CV107-CW107)</f>
        <v/>
      </c>
      <c r="DA107" s="14">
        <f>BZ107-(CQ107-CY107)+(CV107-CW107)</f>
        <v/>
      </c>
      <c r="DB107" s="14">
        <f>CB107*(1+M107)-CD107-CS107-CK107+Z107+AB107</f>
        <v/>
      </c>
      <c r="DC107" s="14">
        <f>CC107*(1+M107)-CE107-CT107-CL107+AA107+AC107</f>
        <v/>
      </c>
      <c r="DD107" s="14">
        <f>CF107*(1+M107)-CU107+CW107</f>
        <v/>
      </c>
      <c r="DE107" s="14">
        <f>CD107+CK107+CS107</f>
        <v/>
      </c>
      <c r="DF107" s="14">
        <f>CA107*household!$B$15*$B$20*(1+tax_tables!$B$17)</f>
        <v/>
      </c>
      <c r="DG107" s="14">
        <f>X107+BS107+BU107+BW107+DE107+DF107+CA107*household!$B$15*(1-$B$20)+(CY107+BO107)*household!$B$15*tax_tables!$B$18+(BP107+BM107+AK107)*household!$B$15-Z107</f>
        <v/>
      </c>
      <c r="DH107" s="14">
        <f>CE107+CL107+CT107</f>
        <v/>
      </c>
      <c r="DI107" s="14">
        <f>CA107*(1-household!$B$15)*$B$20*(1+tax_tables!$B$17)</f>
        <v/>
      </c>
      <c r="DJ107" s="14">
        <f>Y107+BT107+BV107+BX107+DH107+DI107+CA107*(1-household!$B$15)*(1-$B$20)+(CY107+BO107)*(1-household!$B$15)*tax_tables!$B$18+(BP107+BM107+AK107)*(1-household!$B$15)-AA107</f>
        <v/>
      </c>
      <c r="DK107" s="14">
        <f>IF((DG107&gt;=DJ107),MIN(0.5*(BW107+IF(B107&gt;=65,DE107,0)),MAX(0,(DG107-DJ107)/2)),MIN(0.5*(BX107+IF(C107&gt;=65,DH107,0)),MAX(0,(DJ107-DG107)/2)))</f>
        <v/>
      </c>
      <c r="DL107" s="14">
        <f>DG107+IF((DG107&gt;=DJ107),-DK107,DK107)</f>
        <v/>
      </c>
      <c r="DM107" s="14">
        <f>BW107+IF(B107&gt;=65,DE107,0)+IF((DG107&gt;=DJ107),-DK107,DK107)</f>
        <v/>
      </c>
      <c r="DN107" s="14">
        <f>MIN(BU107,tax_tables!$B$22*MAX(0,DL107-tax_tables!$B$21*P107))</f>
        <v/>
      </c>
      <c r="DO107" s="14">
        <f>MAX(0,DL107-DN107)</f>
        <v/>
      </c>
      <c r="DP107" s="14">
        <f>DJ107+IF((DG107&gt;=DJ107),DK107,-DK107)</f>
        <v/>
      </c>
      <c r="DQ107" s="14">
        <f>BX107+IF(C107&gt;=65,DH107,0)+IF((DG107&gt;=DJ107),DK107,-DK107)</f>
        <v/>
      </c>
      <c r="DR107" s="14">
        <f>MIN(BV107,tax_tables!$B$22*MAX(0,DP107-tax_tables!$B$21*P107))</f>
        <v/>
      </c>
      <c r="DS107" s="14">
        <f>MAX(0,DP107-DR107)</f>
        <v/>
      </c>
      <c r="DT107" s="14">
        <f>BJ107-BD107</f>
        <v/>
      </c>
      <c r="DU107" s="14">
        <f>(tax_tables!$B$6-(tax_tables!$B$6-tax_tables!$B$7)*MIN(1,MAX(0,(DL107-tax_tables!$B$8*P107)/((tax_tables!$B$9-tax_tables!$B$8)*P107))))*P107+(B107&gt;=65)*MAX(0,tax_tables!$B$10*P107-tax_tables!$B$12*MAX(0,DL107-tax_tables!$B$11*P107))+MIN(tax_tables!$B$13,DM107)+MIN(tax_tables!$B$14*P107,X107)+AF107+(DL107&lt;=DP107)*MAX(0,DT107-MIN(0.03*DL107,tax_tables!$B$15*P107))</f>
        <v/>
      </c>
      <c r="DV107" s="14">
        <f>MAX(0,SUMPRODUCT((DO107&gt;tax_tables!$E$5:$E$16*P107)*(DO107-tax_tables!$E$5:$E$16*P107)*tax_tables!$G$5:$G$16)-tax_tables!$B$5*DU107-tax_tables!$B$16*DF107)</f>
        <v/>
      </c>
      <c r="DW107" s="14">
        <f>tax_tables!$B$35*Q107+(B107&gt;=65)*MAX(0,tax_tables!$B$36*Q107-tax_tables!$B$12*MAX(0,DL107-tax_tables!$B$37*Q107))+MIN(tax_tables!$B$38,DM107)+AF107+(DL107&lt;=DP107)*MAX(0,DT107-MIN(0.03*DL107,tax_tables!$B$39*Q107))</f>
        <v/>
      </c>
      <c r="DX107" s="14">
        <f>MAX(0,SUMPRODUCT((DO107&gt;tax_tables!$I$5:$I$16*Q107)*(DO107-tax_tables!$I$5:$I$16*Q107)*tax_tables!$K$5:$K$16)-tax_tables!$B$34*DW107-tax_tables!$B$40*DF107-MAX(0,tax_tables!$B$41*Q107-tax_tables!$B$43*MAX(0,DL107-tax_tables!$B$42*Q107)))</f>
        <v/>
      </c>
      <c r="DY107" s="14">
        <f>(tax_tables!$B$6-(tax_tables!$B$6-tax_tables!$B$7)*MIN(1,MAX(0,(DP107-tax_tables!$B$8*P107)/((tax_tables!$B$9-tax_tables!$B$8)*P107))))*P107+(C107&gt;=65)*MAX(0,tax_tables!$B$10*P107-tax_tables!$B$12*MAX(0,DP107-tax_tables!$B$11*P107))+MIN(tax_tables!$B$13,DQ107)+MIN(tax_tables!$B$14*P107,Y107)+AG107+(DL107&gt;DP107)*MAX(0,DT107-MIN(0.03*DP107,tax_tables!$B$15*P107))</f>
        <v/>
      </c>
      <c r="DZ107" s="14">
        <f>MAX(0,SUMPRODUCT((DS107&gt;tax_tables!$E$5:$E$16*P107)*(DS107-tax_tables!$E$5:$E$16*P107)*tax_tables!$G$5:$G$16)-tax_tables!$B$5*DY107-tax_tables!$B$16*DI107)</f>
        <v/>
      </c>
      <c r="EA107" s="14">
        <f>tax_tables!$B$35*Q107+(C107&gt;=65)*MAX(0,tax_tables!$B$36*Q107-tax_tables!$B$12*MAX(0,DP107-tax_tables!$B$37*Q107))+MIN(tax_tables!$B$38,DQ107)+AG107+(DL107&gt;DP107)*MAX(0,DT107-MIN(0.03*DP107,tax_tables!$B$39*Q107))</f>
        <v/>
      </c>
      <c r="EB107" s="14">
        <f>MAX(0,SUMPRODUCT((DS107&gt;tax_tables!$I$5:$I$16*Q107)*(DS107-tax_tables!$I$5:$I$16*Q107)*tax_tables!$K$5:$K$16)-tax_tables!$B$34*EA107-tax_tables!$B$40*DI107-MAX(0,tax_tables!$B$41*Q107-tax_tables!$B$43*MAX(0,DP107-tax_tables!$B$42*Q107)))</f>
        <v/>
      </c>
      <c r="EC107" s="14">
        <f>DV107+DZ107+DX107+EB107+DN107+DR107</f>
        <v/>
      </c>
      <c r="ED107" s="14">
        <f>CZ107+DB107+DC107+DD107</f>
        <v/>
      </c>
      <c r="EE107" s="14">
        <f>ED107+BQ107-AR107+BR107</f>
        <v/>
      </c>
    </row>
    <row r="108">
      <c r="A108" s="21">
        <f>A107+1</f>
        <v/>
      </c>
      <c r="B108" s="21">
        <f>A108-household!$B$6</f>
        <v/>
      </c>
      <c r="C108" s="21">
        <f>A108-household!$B$9</f>
        <v/>
      </c>
      <c r="D108" s="14">
        <f>AU108+AV108+AW108+AX108+BB108+BJ108+AM108</f>
        <v/>
      </c>
      <c r="E108" s="14">
        <f>CN108+AI108+AH108</f>
        <v/>
      </c>
      <c r="F108" s="14">
        <f>BS108+BT108+BU108+BV108</f>
        <v/>
      </c>
      <c r="G108" s="14">
        <f>CQ108+CR108+CU108+CD108+CE108+CA108-CV108+CJ108+CW108</f>
        <v/>
      </c>
      <c r="H108" s="22">
        <f>IF(BY108+CB108+CC108+CF108&lt;=0,"",G108/(BY108+CB108+CC108+CF108))</f>
        <v/>
      </c>
      <c r="I108" s="23">
        <f>ED108/O108</f>
        <v/>
      </c>
      <c r="J108" s="23">
        <f>EE108/O108</f>
        <v/>
      </c>
      <c r="K108" s="14">
        <f>MAX(0,CP108-CQ108-CR108-CU108)</f>
        <v/>
      </c>
      <c r="L108" s="10" t="n"/>
      <c r="M108" s="22">
        <f>IF(L108="",$B$18,L108)</f>
        <v/>
      </c>
      <c r="N108" s="13" t="n"/>
      <c r="O108" s="12">
        <f>(1+$B$17)^(A108-household!$B$4+1)</f>
        <v/>
      </c>
      <c r="P108" s="12">
        <f>(1+$B$17)^(A108-tax_tables!$B$4)</f>
        <v/>
      </c>
      <c r="Q108" s="12">
        <f>(1+$B$17)^(A108-tax_tables!$B$4-MAX(0,MIN(A108,tax_tables!$B$45)-tax_tables!$B$44+1))</f>
        <v/>
      </c>
      <c r="R108" s="12">
        <f>(1+$B$21)^(A108-household!$B$4+1)</f>
        <v/>
      </c>
      <c r="S108" s="12">
        <f>(1+$B$22)^(A108-household!$B$4+1)</f>
        <v/>
      </c>
      <c r="T108" s="12">
        <f>(1+$B$23)^(A108-household!$B$4+1)</f>
        <v/>
      </c>
      <c r="U108" s="21">
        <f>IF(A108&lt;$B$5,1,0)</f>
        <v/>
      </c>
      <c r="V108" s="21">
        <f>IF(A108&lt;$B$6,1,0)</f>
        <v/>
      </c>
      <c r="W108" s="21">
        <f>IF(U108+V108&gt;0,1,0)</f>
        <v/>
      </c>
      <c r="X108" s="14">
        <f>U108*$B$7*O108+SUMPRODUCT(($B$72:$B$77=A108)*($D$72:$D$77="Wages: person 1")*$C$72:$C$77)*O108</f>
        <v/>
      </c>
      <c r="Y108" s="14">
        <f>V108*$B$8*O108+SUMPRODUCT(($B$72:$B$77=A108)*($D$72:$D$77="Wages: person 2")*$C$72:$C$77)*O108</f>
        <v/>
      </c>
      <c r="Z108" s="14">
        <f>U108*$B$9*O108</f>
        <v/>
      </c>
      <c r="AA108" s="14">
        <f>V108*$B$10*O108</f>
        <v/>
      </c>
      <c r="AB108" s="14">
        <f>U108*$B$11*O108</f>
        <v/>
      </c>
      <c r="AC108" s="14">
        <f>V108*$B$12*O108</f>
        <v/>
      </c>
      <c r="AD108" s="14">
        <f>X108+Y108</f>
        <v/>
      </c>
      <c r="AE108" s="14">
        <f>AD108-Z108-AA108</f>
        <v/>
      </c>
      <c r="AF108" s="14">
        <f>tax_tables!$B$25*MAX(0,MIN(X108,tax_tables!$B$27*P108)-tax_tables!$B$26)+tax_tables!$B$28*MAX(0,MIN(X108,tax_tables!$B$29*P108)-tax_tables!$B$27*P108)+tax_tables!$B$30*MIN(X108,tax_tables!$B$31*P108)</f>
        <v/>
      </c>
      <c r="AG108" s="14">
        <f>tax_tables!$B$25*MAX(0,MIN(Y108,tax_tables!$B$27*P108)-tax_tables!$B$26)+tax_tables!$B$28*MAX(0,MIN(Y108,tax_tables!$B$29*P108)-tax_tables!$B$27*P108)+tax_tables!$B$30*MIN(Y108,tax_tables!$B$31*P108)</f>
        <v/>
      </c>
      <c r="AH108" s="14">
        <f>AF108+AG108</f>
        <v/>
      </c>
      <c r="AI108" s="14">
        <f>$B$13*AE108</f>
        <v/>
      </c>
      <c r="AJ108" s="14">
        <f>AD108-Z108-AA108-AH108-AI108</f>
        <v/>
      </c>
      <c r="AK108" s="14">
        <f>SUMPRODUCT(($B$72:$B$77=A108)*($D$72:$D$77="Other taxable income")*$C$72:$C$77)*O108</f>
        <v/>
      </c>
      <c r="AL108" s="14">
        <f>SUMPRODUCT(($B$72:$B$77=A108)*($D$72:$D$77="Tax-free money in")*$C$72:$C$77)*O108</f>
        <v/>
      </c>
      <c r="AM108" s="14">
        <f>SUMPRODUCT(($B$72:$B$77=A108)*($D$72:$D$77="Expense")*$C$72:$C$77)*O108</f>
        <v/>
      </c>
      <c r="AN108" s="21">
        <f>IF(OR($B$64="",A108&lt;$B$64),1,0)</f>
        <v/>
      </c>
      <c r="AO108" s="14">
        <f>AR107</f>
        <v/>
      </c>
      <c r="AP108" s="14">
        <f>AN108*AO108*properties!$J$2</f>
        <v/>
      </c>
      <c r="AQ108" s="14">
        <f>AN108*MIN(properties!$K$2,AO108+AP108)</f>
        <v/>
      </c>
      <c r="AR108" s="14">
        <f>AN108*(AO108+AP108-AQ108)</f>
        <v/>
      </c>
      <c r="AS108" s="14">
        <f>AN108*properties!$G$2*O108</f>
        <v/>
      </c>
      <c r="AT108" s="14">
        <f>(1-AN108)*$E$64*O108</f>
        <v/>
      </c>
      <c r="AU108" s="14">
        <f>AQ108+AS108+AT108</f>
        <v/>
      </c>
      <c r="AV108" s="14">
        <f>SUMIF(budget!$A$2:$A$300,"household",budget!$F$2:$F$300)*O108*IF(N108="",1,N108)</f>
        <v/>
      </c>
      <c r="AW108" s="14">
        <f>SUMPRODUCT((other_budget!$C$2:$C$30&lt;=A108)*(other_budget!$D$2:$D$30&gt;=A108)*other_budget!$B$2:$B$30)*O108</f>
        <v/>
      </c>
      <c r="AX108" s="14">
        <f>SUMPRODUCT((kids_budget!$D$2:$D$40&lt;=A108)*(kids_budget!$E$2:$E$40&gt;=A108)*(kids_budget!$G$2:$G$40&lt;&gt;"college_funds")*kids_budget!$C$2:$C$40*((kids_budget!$F$2:$F$40="college")*S108+(kids_budget!$F$2:$F$40&lt;&gt;"college")*O108))</f>
        <v/>
      </c>
      <c r="AY108" s="14">
        <f>SUMPRODUCT((kids_budget!$D$2:$D$40&lt;=A108)*(kids_budget!$E$2:$E$40&gt;=A108)*(kids_budget!$G$2:$G$40="college_funds")*kids_budget!$C$2:$C$40*((kids_budget!$F$2:$F$40="college")*S108+(kids_budget!$F$2:$F$40&lt;&gt;"college")*O108))</f>
        <v/>
      </c>
      <c r="AZ108" s="14">
        <f>BC107</f>
        <v/>
      </c>
      <c r="BA108" s="14">
        <f>MIN(AY108,AZ108*(1+M108))</f>
        <v/>
      </c>
      <c r="BB108" s="14">
        <f>AY108-BA108</f>
        <v/>
      </c>
      <c r="BC108" s="14">
        <f>AZ108*(1+M108)-BA108</f>
        <v/>
      </c>
      <c r="BD108" s="14">
        <f>W108*healthcare!$B$2*R108</f>
        <v/>
      </c>
      <c r="BE108" s="21">
        <f>(1-W108)*2</f>
        <v/>
      </c>
      <c r="BF108" s="14">
        <f>BE108*healthcare!$B$3*12*R108</f>
        <v/>
      </c>
      <c r="BG108" s="14">
        <f>BE108*healthcare!$B$4*R108</f>
        <v/>
      </c>
      <c r="BH108" s="21">
        <f>AND(B108&gt;=$B$44,B108&lt;$B$44+$B$45)*1+AND(C108&gt;=$B$46,C108&lt;$B$46+$B$47)*1</f>
        <v/>
      </c>
      <c r="BI108" s="14">
        <f>BH108*$B$48*T108</f>
        <v/>
      </c>
      <c r="BJ108" s="14">
        <f>BD108+BF108+BG108+BI108</f>
        <v/>
      </c>
      <c r="BK108" s="14">
        <f>SUMPRODUCT((1-($B$65:$B$68&gt;0)*(A108&gt;=$B$65:$B$68))*(1-(($C$65:$C$68&gt;0)*(A108&gt;=$C$65:$C$68)))*(properties!$L$3:$L$6-properties!$M$3:$M$6))*O108+SUMPRODUCT((1-($B$65:$B$68&gt;0)*(A108&gt;=$B$65:$B$68))*(($C$65:$C$68&gt;0)*(A108&gt;=$C$65:$C$68))*($D$65:$D$68-$E$65:$E$68))*O108</f>
        <v/>
      </c>
      <c r="BL108" s="14">
        <f>SUMPRODUCT((1-($B$65:$B$68&gt;0)*(A108&gt;=$B$65:$B$68))*properties!$N$3:$N$6*(A108&lt;=properties!$O$3:$O$6))</f>
        <v/>
      </c>
      <c r="BM108" s="14">
        <f>MAX(0,BK108-BL108)</f>
        <v/>
      </c>
      <c r="BN108" s="14">
        <f>SUMPRODUCT(($B$64:$B$68=A108)*$G$64:$G$68)</f>
        <v/>
      </c>
      <c r="BO108" s="14">
        <f>SUMPRODUCT(($B$64:$B$68=A108)*$H$64:$H$68)</f>
        <v/>
      </c>
      <c r="BP108" s="14">
        <f>SUMPRODUCT(($B$64:$B$68=A108)*$I$64:$I$68)</f>
        <v/>
      </c>
      <c r="BQ108" s="14">
        <f>AN108*properties!$C$2*(1+properties!$D$2)^(A108-household!$B$4+1)</f>
        <v/>
      </c>
      <c r="BR108" s="14">
        <f>SUMPRODUCT((1-($B$65:$B$68&gt;0)*(A108&gt;=$B$65:$B$68))*properties!$C$3:$C$6*(1+properties!$D$3:$D$6)^(A108-household!$B$4+1))</f>
        <v/>
      </c>
      <c r="BS108" s="14">
        <f>IF(A108&gt;=household!$B$6+$B$26,household!$B$11*12*$B$30*O108,0)</f>
        <v/>
      </c>
      <c r="BT108" s="14">
        <f>IF(A108&gt;=household!$B$9+$B$27,household!$B$12*12*$B$31*O108,0)</f>
        <v/>
      </c>
      <c r="BU108" s="14">
        <f>IF(A108&gt;=household!$B$6+$B$28,tax_tables!$B$19*12*P108*MIN(1,household!$B$13/40)*$B$32*(1+tax_tables!$B$20*(B108&gt;=75)),0)</f>
        <v/>
      </c>
      <c r="BV108" s="14">
        <f>IF(A108&gt;=household!$B$9+$B$29,tax_tables!$B$19*12*P108*MIN(1,household!$B$14/40)*$B$33*(1+tax_tables!$B$20*(C108&gt;=75)),0)</f>
        <v/>
      </c>
      <c r="BW108" s="14">
        <f>IF(AND($B$36&lt;&gt;0,A108&gt;=household!$B$6+$B$37),$B$36*(1+$B$17)^(MAX(household!$B$6+$B$37,household!$B$4-1)-household!$B$4+1)*(1+$B$40*$B$17)^(A108-MAX(household!$B$6+$B$37,household!$B$4-1)),0)</f>
        <v/>
      </c>
      <c r="BX108" s="14">
        <f>IF(AND($B$38&lt;&gt;0,A108&gt;=household!$B$9+$B$39),$B$38*(1+$B$17)^(MAX(household!$B$9+$B$39,household!$B$4-1)-household!$B$4+1)*(1+$B$40*$B$17)^(A108-MAX(household!$B$9+$B$39,household!$B$4-1)),0)</f>
        <v/>
      </c>
      <c r="BY108" s="14">
        <f>CZ107</f>
        <v/>
      </c>
      <c r="BZ108" s="14">
        <f>DA107</f>
        <v/>
      </c>
      <c r="CA108" s="14">
        <f>$B$19*BY108</f>
        <v/>
      </c>
      <c r="CB108" s="14">
        <f>DB107</f>
        <v/>
      </c>
      <c r="CC108" s="14">
        <f>DC107</f>
        <v/>
      </c>
      <c r="CD108" s="14">
        <f>IF(B108&gt;=tax_tables!$B$46,MAX(0,CB108)*INDEX(tax_tables!$N$5:$N$54,MATCH(MIN(B108-1,120),tax_tables!$M$5:$M$54,0)),0)</f>
        <v/>
      </c>
      <c r="CE108" s="14">
        <f>IF(C108&gt;=tax_tables!$B$46,MAX(0,CC108)*INDEX(tax_tables!$N$5:$N$54,MATCH(MIN(C108-1,120),tax_tables!$M$5:$M$54,0)),0)</f>
        <v/>
      </c>
      <c r="CF108" s="14">
        <f>DD107</f>
        <v/>
      </c>
      <c r="CG108" s="14">
        <f>IF(OR($B$52="",$B$53=""),0,IF(AND(A108&gt;=$B$52,A108&lt;=$B$53),$B$51*O108,0))</f>
        <v/>
      </c>
      <c r="CH108" s="14">
        <f>MAX(0,CB108*(1+M108)-CD108)</f>
        <v/>
      </c>
      <c r="CI108" s="14">
        <f>MAX(0,CC108*(1+M108)-CE108)</f>
        <v/>
      </c>
      <c r="CJ108" s="14">
        <f>MIN(CG108,CH108+CI108)</f>
        <v/>
      </c>
      <c r="CK108" s="14">
        <f>IF(CH108+CI108&gt;1,CJ108*CH108/(CH108+CI108),0)</f>
        <v/>
      </c>
      <c r="CL108" s="14">
        <f>CJ108-CK108</f>
        <v/>
      </c>
      <c r="CM108" s="14">
        <f>CM107-CW107+CU107+tax_tables!$B$32*P108*2</f>
        <v/>
      </c>
      <c r="CN108" s="14">
        <f>EC107-AI107</f>
        <v/>
      </c>
      <c r="CO108" s="14">
        <f>AJ108+F108+BW108+BX108+BK108+CA108+CD108+CE108+BN108+AK108+AL108+CJ108</f>
        <v/>
      </c>
      <c r="CP108" s="14">
        <f>D108+CN108-CO108</f>
        <v/>
      </c>
      <c r="CQ108" s="14">
        <f>MAX(0,MIN(CP108,BY108*(1+M108-$B$19)))</f>
        <v/>
      </c>
      <c r="CR108" s="14">
        <f>MAX(0,MIN(CP108-CQ108,(CH108-CK108)+(CI108-CL108)))</f>
        <v/>
      </c>
      <c r="CS108" s="14">
        <f>IF((CH108-CK108)+(CI108-CL108)&gt;1,CR108*(CH108-CK108)/((CH108-CK108)+(CI108-CL108)),0)</f>
        <v/>
      </c>
      <c r="CT108" s="14">
        <f>CR108-CS108</f>
        <v/>
      </c>
      <c r="CU108" s="14">
        <f>MAX(0,MIN(CP108-CQ108-CR108,CF108*(1+M108)))</f>
        <v/>
      </c>
      <c r="CV108" s="14">
        <f>MAX(0,-CP108)</f>
        <v/>
      </c>
      <c r="CW108" s="14">
        <f>MIN(CV108,MAX(0,CM108))</f>
        <v/>
      </c>
      <c r="CX108" s="22">
        <f>IF(BY108&gt;0,MAX(0,1-BZ108/BY108),0)</f>
        <v/>
      </c>
      <c r="CY108" s="14">
        <f>CQ108*CX108</f>
        <v/>
      </c>
      <c r="CZ108" s="14">
        <f>BY108*(1+M108-$B$19)-CQ108+(CV108-CW108)</f>
        <v/>
      </c>
      <c r="DA108" s="14">
        <f>BZ108-(CQ108-CY108)+(CV108-CW108)</f>
        <v/>
      </c>
      <c r="DB108" s="14">
        <f>CB108*(1+M108)-CD108-CS108-CK108+Z108+AB108</f>
        <v/>
      </c>
      <c r="DC108" s="14">
        <f>CC108*(1+M108)-CE108-CT108-CL108+AA108+AC108</f>
        <v/>
      </c>
      <c r="DD108" s="14">
        <f>CF108*(1+M108)-CU108+CW108</f>
        <v/>
      </c>
      <c r="DE108" s="14">
        <f>CD108+CK108+CS108</f>
        <v/>
      </c>
      <c r="DF108" s="14">
        <f>CA108*household!$B$15*$B$20*(1+tax_tables!$B$17)</f>
        <v/>
      </c>
      <c r="DG108" s="14">
        <f>X108+BS108+BU108+BW108+DE108+DF108+CA108*household!$B$15*(1-$B$20)+(CY108+BO108)*household!$B$15*tax_tables!$B$18+(BP108+BM108+AK108)*household!$B$15-Z108</f>
        <v/>
      </c>
      <c r="DH108" s="14">
        <f>CE108+CL108+CT108</f>
        <v/>
      </c>
      <c r="DI108" s="14">
        <f>CA108*(1-household!$B$15)*$B$20*(1+tax_tables!$B$17)</f>
        <v/>
      </c>
      <c r="DJ108" s="14">
        <f>Y108+BT108+BV108+BX108+DH108+DI108+CA108*(1-household!$B$15)*(1-$B$20)+(CY108+BO108)*(1-household!$B$15)*tax_tables!$B$18+(BP108+BM108+AK108)*(1-household!$B$15)-AA108</f>
        <v/>
      </c>
      <c r="DK108" s="14">
        <f>IF((DG108&gt;=DJ108),MIN(0.5*(BW108+IF(B108&gt;=65,DE108,0)),MAX(0,(DG108-DJ108)/2)),MIN(0.5*(BX108+IF(C108&gt;=65,DH108,0)),MAX(0,(DJ108-DG108)/2)))</f>
        <v/>
      </c>
      <c r="DL108" s="14">
        <f>DG108+IF((DG108&gt;=DJ108),-DK108,DK108)</f>
        <v/>
      </c>
      <c r="DM108" s="14">
        <f>BW108+IF(B108&gt;=65,DE108,0)+IF((DG108&gt;=DJ108),-DK108,DK108)</f>
        <v/>
      </c>
      <c r="DN108" s="14">
        <f>MIN(BU108,tax_tables!$B$22*MAX(0,DL108-tax_tables!$B$21*P108))</f>
        <v/>
      </c>
      <c r="DO108" s="14">
        <f>MAX(0,DL108-DN108)</f>
        <v/>
      </c>
      <c r="DP108" s="14">
        <f>DJ108+IF((DG108&gt;=DJ108),DK108,-DK108)</f>
        <v/>
      </c>
      <c r="DQ108" s="14">
        <f>BX108+IF(C108&gt;=65,DH108,0)+IF((DG108&gt;=DJ108),DK108,-DK108)</f>
        <v/>
      </c>
      <c r="DR108" s="14">
        <f>MIN(BV108,tax_tables!$B$22*MAX(0,DP108-tax_tables!$B$21*P108))</f>
        <v/>
      </c>
      <c r="DS108" s="14">
        <f>MAX(0,DP108-DR108)</f>
        <v/>
      </c>
      <c r="DT108" s="14">
        <f>BJ108-BD108</f>
        <v/>
      </c>
      <c r="DU108" s="14">
        <f>(tax_tables!$B$6-(tax_tables!$B$6-tax_tables!$B$7)*MIN(1,MAX(0,(DL108-tax_tables!$B$8*P108)/((tax_tables!$B$9-tax_tables!$B$8)*P108))))*P108+(B108&gt;=65)*MAX(0,tax_tables!$B$10*P108-tax_tables!$B$12*MAX(0,DL108-tax_tables!$B$11*P108))+MIN(tax_tables!$B$13,DM108)+MIN(tax_tables!$B$14*P108,X108)+AF108+(DL108&lt;=DP108)*MAX(0,DT108-MIN(0.03*DL108,tax_tables!$B$15*P108))</f>
        <v/>
      </c>
      <c r="DV108" s="14">
        <f>MAX(0,SUMPRODUCT((DO108&gt;tax_tables!$E$5:$E$16*P108)*(DO108-tax_tables!$E$5:$E$16*P108)*tax_tables!$G$5:$G$16)-tax_tables!$B$5*DU108-tax_tables!$B$16*DF108)</f>
        <v/>
      </c>
      <c r="DW108" s="14">
        <f>tax_tables!$B$35*Q108+(B108&gt;=65)*MAX(0,tax_tables!$B$36*Q108-tax_tables!$B$12*MAX(0,DL108-tax_tables!$B$37*Q108))+MIN(tax_tables!$B$38,DM108)+AF108+(DL108&lt;=DP108)*MAX(0,DT108-MIN(0.03*DL108,tax_tables!$B$39*Q108))</f>
        <v/>
      </c>
      <c r="DX108" s="14">
        <f>MAX(0,SUMPRODUCT((DO108&gt;tax_tables!$I$5:$I$16*Q108)*(DO108-tax_tables!$I$5:$I$16*Q108)*tax_tables!$K$5:$K$16)-tax_tables!$B$34*DW108-tax_tables!$B$40*DF108-MAX(0,tax_tables!$B$41*Q108-tax_tables!$B$43*MAX(0,DL108-tax_tables!$B$42*Q108)))</f>
        <v/>
      </c>
      <c r="DY108" s="14">
        <f>(tax_tables!$B$6-(tax_tables!$B$6-tax_tables!$B$7)*MIN(1,MAX(0,(DP108-tax_tables!$B$8*P108)/((tax_tables!$B$9-tax_tables!$B$8)*P108))))*P108+(C108&gt;=65)*MAX(0,tax_tables!$B$10*P108-tax_tables!$B$12*MAX(0,DP108-tax_tables!$B$11*P108))+MIN(tax_tables!$B$13,DQ108)+MIN(tax_tables!$B$14*P108,Y108)+AG108+(DL108&gt;DP108)*MAX(0,DT108-MIN(0.03*DP108,tax_tables!$B$15*P108))</f>
        <v/>
      </c>
      <c r="DZ108" s="14">
        <f>MAX(0,SUMPRODUCT((DS108&gt;tax_tables!$E$5:$E$16*P108)*(DS108-tax_tables!$E$5:$E$16*P108)*tax_tables!$G$5:$G$16)-tax_tables!$B$5*DY108-tax_tables!$B$16*DI108)</f>
        <v/>
      </c>
      <c r="EA108" s="14">
        <f>tax_tables!$B$35*Q108+(C108&gt;=65)*MAX(0,tax_tables!$B$36*Q108-tax_tables!$B$12*MAX(0,DP108-tax_tables!$B$37*Q108))+MIN(tax_tables!$B$38,DQ108)+AG108+(DL108&gt;DP108)*MAX(0,DT108-MIN(0.03*DP108,tax_tables!$B$39*Q108))</f>
        <v/>
      </c>
      <c r="EB108" s="14">
        <f>MAX(0,SUMPRODUCT((DS108&gt;tax_tables!$I$5:$I$16*Q108)*(DS108-tax_tables!$I$5:$I$16*Q108)*tax_tables!$K$5:$K$16)-tax_tables!$B$34*EA108-tax_tables!$B$40*DI108-MAX(0,tax_tables!$B$41*Q108-tax_tables!$B$43*MAX(0,DP108-tax_tables!$B$42*Q108)))</f>
        <v/>
      </c>
      <c r="EC108" s="14">
        <f>DV108+DZ108+DX108+EB108+DN108+DR108</f>
        <v/>
      </c>
      <c r="ED108" s="14">
        <f>CZ108+DB108+DC108+DD108</f>
        <v/>
      </c>
      <c r="EE108" s="14">
        <f>ED108+BQ108-AR108+BR108</f>
        <v/>
      </c>
    </row>
    <row r="109">
      <c r="A109" s="21">
        <f>A108+1</f>
        <v/>
      </c>
      <c r="B109" s="21">
        <f>A109-household!$B$6</f>
        <v/>
      </c>
      <c r="C109" s="21">
        <f>A109-household!$B$9</f>
        <v/>
      </c>
      <c r="D109" s="14">
        <f>AU109+AV109+AW109+AX109+BB109+BJ109+AM109</f>
        <v/>
      </c>
      <c r="E109" s="14">
        <f>CN109+AI109+AH109</f>
        <v/>
      </c>
      <c r="F109" s="14">
        <f>BS109+BT109+BU109+BV109</f>
        <v/>
      </c>
      <c r="G109" s="14">
        <f>CQ109+CR109+CU109+CD109+CE109+CA109-CV109+CJ109+CW109</f>
        <v/>
      </c>
      <c r="H109" s="22">
        <f>IF(BY109+CB109+CC109+CF109&lt;=0,"",G109/(BY109+CB109+CC109+CF109))</f>
        <v/>
      </c>
      <c r="I109" s="23">
        <f>ED109/O109</f>
        <v/>
      </c>
      <c r="J109" s="23">
        <f>EE109/O109</f>
        <v/>
      </c>
      <c r="K109" s="14">
        <f>MAX(0,CP109-CQ109-CR109-CU109)</f>
        <v/>
      </c>
      <c r="L109" s="10" t="n"/>
      <c r="M109" s="22">
        <f>IF(L109="",$B$18,L109)</f>
        <v/>
      </c>
      <c r="N109" s="13" t="n"/>
      <c r="O109" s="12">
        <f>(1+$B$17)^(A109-household!$B$4+1)</f>
        <v/>
      </c>
      <c r="P109" s="12">
        <f>(1+$B$17)^(A109-tax_tables!$B$4)</f>
        <v/>
      </c>
      <c r="Q109" s="12">
        <f>(1+$B$17)^(A109-tax_tables!$B$4-MAX(0,MIN(A109,tax_tables!$B$45)-tax_tables!$B$44+1))</f>
        <v/>
      </c>
      <c r="R109" s="12">
        <f>(1+$B$21)^(A109-household!$B$4+1)</f>
        <v/>
      </c>
      <c r="S109" s="12">
        <f>(1+$B$22)^(A109-household!$B$4+1)</f>
        <v/>
      </c>
      <c r="T109" s="12">
        <f>(1+$B$23)^(A109-household!$B$4+1)</f>
        <v/>
      </c>
      <c r="U109" s="21">
        <f>IF(A109&lt;$B$5,1,0)</f>
        <v/>
      </c>
      <c r="V109" s="21">
        <f>IF(A109&lt;$B$6,1,0)</f>
        <v/>
      </c>
      <c r="W109" s="21">
        <f>IF(U109+V109&gt;0,1,0)</f>
        <v/>
      </c>
      <c r="X109" s="14">
        <f>U109*$B$7*O109+SUMPRODUCT(($B$72:$B$77=A109)*($D$72:$D$77="Wages: person 1")*$C$72:$C$77)*O109</f>
        <v/>
      </c>
      <c r="Y109" s="14">
        <f>V109*$B$8*O109+SUMPRODUCT(($B$72:$B$77=A109)*($D$72:$D$77="Wages: person 2")*$C$72:$C$77)*O109</f>
        <v/>
      </c>
      <c r="Z109" s="14">
        <f>U109*$B$9*O109</f>
        <v/>
      </c>
      <c r="AA109" s="14">
        <f>V109*$B$10*O109</f>
        <v/>
      </c>
      <c r="AB109" s="14">
        <f>U109*$B$11*O109</f>
        <v/>
      </c>
      <c r="AC109" s="14">
        <f>V109*$B$12*O109</f>
        <v/>
      </c>
      <c r="AD109" s="14">
        <f>X109+Y109</f>
        <v/>
      </c>
      <c r="AE109" s="14">
        <f>AD109-Z109-AA109</f>
        <v/>
      </c>
      <c r="AF109" s="14">
        <f>tax_tables!$B$25*MAX(0,MIN(X109,tax_tables!$B$27*P109)-tax_tables!$B$26)+tax_tables!$B$28*MAX(0,MIN(X109,tax_tables!$B$29*P109)-tax_tables!$B$27*P109)+tax_tables!$B$30*MIN(X109,tax_tables!$B$31*P109)</f>
        <v/>
      </c>
      <c r="AG109" s="14">
        <f>tax_tables!$B$25*MAX(0,MIN(Y109,tax_tables!$B$27*P109)-tax_tables!$B$26)+tax_tables!$B$28*MAX(0,MIN(Y109,tax_tables!$B$29*P109)-tax_tables!$B$27*P109)+tax_tables!$B$30*MIN(Y109,tax_tables!$B$31*P109)</f>
        <v/>
      </c>
      <c r="AH109" s="14">
        <f>AF109+AG109</f>
        <v/>
      </c>
      <c r="AI109" s="14">
        <f>$B$13*AE109</f>
        <v/>
      </c>
      <c r="AJ109" s="14">
        <f>AD109-Z109-AA109-AH109-AI109</f>
        <v/>
      </c>
      <c r="AK109" s="14">
        <f>SUMPRODUCT(($B$72:$B$77=A109)*($D$72:$D$77="Other taxable income")*$C$72:$C$77)*O109</f>
        <v/>
      </c>
      <c r="AL109" s="14">
        <f>SUMPRODUCT(($B$72:$B$77=A109)*($D$72:$D$77="Tax-free money in")*$C$72:$C$77)*O109</f>
        <v/>
      </c>
      <c r="AM109" s="14">
        <f>SUMPRODUCT(($B$72:$B$77=A109)*($D$72:$D$77="Expense")*$C$72:$C$77)*O109</f>
        <v/>
      </c>
      <c r="AN109" s="21">
        <f>IF(OR($B$64="",A109&lt;$B$64),1,0)</f>
        <v/>
      </c>
      <c r="AO109" s="14">
        <f>AR108</f>
        <v/>
      </c>
      <c r="AP109" s="14">
        <f>AN109*AO109*properties!$J$2</f>
        <v/>
      </c>
      <c r="AQ109" s="14">
        <f>AN109*MIN(properties!$K$2,AO109+AP109)</f>
        <v/>
      </c>
      <c r="AR109" s="14">
        <f>AN109*(AO109+AP109-AQ109)</f>
        <v/>
      </c>
      <c r="AS109" s="14">
        <f>AN109*properties!$G$2*O109</f>
        <v/>
      </c>
      <c r="AT109" s="14">
        <f>(1-AN109)*$E$64*O109</f>
        <v/>
      </c>
      <c r="AU109" s="14">
        <f>AQ109+AS109+AT109</f>
        <v/>
      </c>
      <c r="AV109" s="14">
        <f>SUMIF(budget!$A$2:$A$300,"household",budget!$F$2:$F$300)*O109*IF(N109="",1,N109)</f>
        <v/>
      </c>
      <c r="AW109" s="14">
        <f>SUMPRODUCT((other_budget!$C$2:$C$30&lt;=A109)*(other_budget!$D$2:$D$30&gt;=A109)*other_budget!$B$2:$B$30)*O109</f>
        <v/>
      </c>
      <c r="AX109" s="14">
        <f>SUMPRODUCT((kids_budget!$D$2:$D$40&lt;=A109)*(kids_budget!$E$2:$E$40&gt;=A109)*(kids_budget!$G$2:$G$40&lt;&gt;"college_funds")*kids_budget!$C$2:$C$40*((kids_budget!$F$2:$F$40="college")*S109+(kids_budget!$F$2:$F$40&lt;&gt;"college")*O109))</f>
        <v/>
      </c>
      <c r="AY109" s="14">
        <f>SUMPRODUCT((kids_budget!$D$2:$D$40&lt;=A109)*(kids_budget!$E$2:$E$40&gt;=A109)*(kids_budget!$G$2:$G$40="college_funds")*kids_budget!$C$2:$C$40*((kids_budget!$F$2:$F$40="college")*S109+(kids_budget!$F$2:$F$40&lt;&gt;"college")*O109))</f>
        <v/>
      </c>
      <c r="AZ109" s="14">
        <f>BC108</f>
        <v/>
      </c>
      <c r="BA109" s="14">
        <f>MIN(AY109,AZ109*(1+M109))</f>
        <v/>
      </c>
      <c r="BB109" s="14">
        <f>AY109-BA109</f>
        <v/>
      </c>
      <c r="BC109" s="14">
        <f>AZ109*(1+M109)-BA109</f>
        <v/>
      </c>
      <c r="BD109" s="14">
        <f>W109*healthcare!$B$2*R109</f>
        <v/>
      </c>
      <c r="BE109" s="21">
        <f>(1-W109)*2</f>
        <v/>
      </c>
      <c r="BF109" s="14">
        <f>BE109*healthcare!$B$3*12*R109</f>
        <v/>
      </c>
      <c r="BG109" s="14">
        <f>BE109*healthcare!$B$4*R109</f>
        <v/>
      </c>
      <c r="BH109" s="21">
        <f>AND(B109&gt;=$B$44,B109&lt;$B$44+$B$45)*1+AND(C109&gt;=$B$46,C109&lt;$B$46+$B$47)*1</f>
        <v/>
      </c>
      <c r="BI109" s="14">
        <f>BH109*$B$48*T109</f>
        <v/>
      </c>
      <c r="BJ109" s="14">
        <f>BD109+BF109+BG109+BI109</f>
        <v/>
      </c>
      <c r="BK109" s="14">
        <f>SUMPRODUCT((1-($B$65:$B$68&gt;0)*(A109&gt;=$B$65:$B$68))*(1-(($C$65:$C$68&gt;0)*(A109&gt;=$C$65:$C$68)))*(properties!$L$3:$L$6-properties!$M$3:$M$6))*O109+SUMPRODUCT((1-($B$65:$B$68&gt;0)*(A109&gt;=$B$65:$B$68))*(($C$65:$C$68&gt;0)*(A109&gt;=$C$65:$C$68))*($D$65:$D$68-$E$65:$E$68))*O109</f>
        <v/>
      </c>
      <c r="BL109" s="14">
        <f>SUMPRODUCT((1-($B$65:$B$68&gt;0)*(A109&gt;=$B$65:$B$68))*properties!$N$3:$N$6*(A109&lt;=properties!$O$3:$O$6))</f>
        <v/>
      </c>
      <c r="BM109" s="14">
        <f>MAX(0,BK109-BL109)</f>
        <v/>
      </c>
      <c r="BN109" s="14">
        <f>SUMPRODUCT(($B$64:$B$68=A109)*$G$64:$G$68)</f>
        <v/>
      </c>
      <c r="BO109" s="14">
        <f>SUMPRODUCT(($B$64:$B$68=A109)*$H$64:$H$68)</f>
        <v/>
      </c>
      <c r="BP109" s="14">
        <f>SUMPRODUCT(($B$64:$B$68=A109)*$I$64:$I$68)</f>
        <v/>
      </c>
      <c r="BQ109" s="14">
        <f>AN109*properties!$C$2*(1+properties!$D$2)^(A109-household!$B$4+1)</f>
        <v/>
      </c>
      <c r="BR109" s="14">
        <f>SUMPRODUCT((1-($B$65:$B$68&gt;0)*(A109&gt;=$B$65:$B$68))*properties!$C$3:$C$6*(1+properties!$D$3:$D$6)^(A109-household!$B$4+1))</f>
        <v/>
      </c>
      <c r="BS109" s="14">
        <f>IF(A109&gt;=household!$B$6+$B$26,household!$B$11*12*$B$30*O109,0)</f>
        <v/>
      </c>
      <c r="BT109" s="14">
        <f>IF(A109&gt;=household!$B$9+$B$27,household!$B$12*12*$B$31*O109,0)</f>
        <v/>
      </c>
      <c r="BU109" s="14">
        <f>IF(A109&gt;=household!$B$6+$B$28,tax_tables!$B$19*12*P109*MIN(1,household!$B$13/40)*$B$32*(1+tax_tables!$B$20*(B109&gt;=75)),0)</f>
        <v/>
      </c>
      <c r="BV109" s="14">
        <f>IF(A109&gt;=household!$B$9+$B$29,tax_tables!$B$19*12*P109*MIN(1,household!$B$14/40)*$B$33*(1+tax_tables!$B$20*(C109&gt;=75)),0)</f>
        <v/>
      </c>
      <c r="BW109" s="14">
        <f>IF(AND($B$36&lt;&gt;0,A109&gt;=household!$B$6+$B$37),$B$36*(1+$B$17)^(MAX(household!$B$6+$B$37,household!$B$4-1)-household!$B$4+1)*(1+$B$40*$B$17)^(A109-MAX(household!$B$6+$B$37,household!$B$4-1)),0)</f>
        <v/>
      </c>
      <c r="BX109" s="14">
        <f>IF(AND($B$38&lt;&gt;0,A109&gt;=household!$B$9+$B$39),$B$38*(1+$B$17)^(MAX(household!$B$9+$B$39,household!$B$4-1)-household!$B$4+1)*(1+$B$40*$B$17)^(A109-MAX(household!$B$9+$B$39,household!$B$4-1)),0)</f>
        <v/>
      </c>
      <c r="BY109" s="14">
        <f>CZ108</f>
        <v/>
      </c>
      <c r="BZ109" s="14">
        <f>DA108</f>
        <v/>
      </c>
      <c r="CA109" s="14">
        <f>$B$19*BY109</f>
        <v/>
      </c>
      <c r="CB109" s="14">
        <f>DB108</f>
        <v/>
      </c>
      <c r="CC109" s="14">
        <f>DC108</f>
        <v/>
      </c>
      <c r="CD109" s="14">
        <f>IF(B109&gt;=tax_tables!$B$46,MAX(0,CB109)*INDEX(tax_tables!$N$5:$N$54,MATCH(MIN(B109-1,120),tax_tables!$M$5:$M$54,0)),0)</f>
        <v/>
      </c>
      <c r="CE109" s="14">
        <f>IF(C109&gt;=tax_tables!$B$46,MAX(0,CC109)*INDEX(tax_tables!$N$5:$N$54,MATCH(MIN(C109-1,120),tax_tables!$M$5:$M$54,0)),0)</f>
        <v/>
      </c>
      <c r="CF109" s="14">
        <f>DD108</f>
        <v/>
      </c>
      <c r="CG109" s="14">
        <f>IF(OR($B$52="",$B$53=""),0,IF(AND(A109&gt;=$B$52,A109&lt;=$B$53),$B$51*O109,0))</f>
        <v/>
      </c>
      <c r="CH109" s="14">
        <f>MAX(0,CB109*(1+M109)-CD109)</f>
        <v/>
      </c>
      <c r="CI109" s="14">
        <f>MAX(0,CC109*(1+M109)-CE109)</f>
        <v/>
      </c>
      <c r="CJ109" s="14">
        <f>MIN(CG109,CH109+CI109)</f>
        <v/>
      </c>
      <c r="CK109" s="14">
        <f>IF(CH109+CI109&gt;1,CJ109*CH109/(CH109+CI109),0)</f>
        <v/>
      </c>
      <c r="CL109" s="14">
        <f>CJ109-CK109</f>
        <v/>
      </c>
      <c r="CM109" s="14">
        <f>CM108-CW108+CU108+tax_tables!$B$32*P109*2</f>
        <v/>
      </c>
      <c r="CN109" s="14">
        <f>EC108-AI108</f>
        <v/>
      </c>
      <c r="CO109" s="14">
        <f>AJ109+F109+BW109+BX109+BK109+CA109+CD109+CE109+BN109+AK109+AL109+CJ109</f>
        <v/>
      </c>
      <c r="CP109" s="14">
        <f>D109+CN109-CO109</f>
        <v/>
      </c>
      <c r="CQ109" s="14">
        <f>MAX(0,MIN(CP109,BY109*(1+M109-$B$19)))</f>
        <v/>
      </c>
      <c r="CR109" s="14">
        <f>MAX(0,MIN(CP109-CQ109,(CH109-CK109)+(CI109-CL109)))</f>
        <v/>
      </c>
      <c r="CS109" s="14">
        <f>IF((CH109-CK109)+(CI109-CL109)&gt;1,CR109*(CH109-CK109)/((CH109-CK109)+(CI109-CL109)),0)</f>
        <v/>
      </c>
      <c r="CT109" s="14">
        <f>CR109-CS109</f>
        <v/>
      </c>
      <c r="CU109" s="14">
        <f>MAX(0,MIN(CP109-CQ109-CR109,CF109*(1+M109)))</f>
        <v/>
      </c>
      <c r="CV109" s="14">
        <f>MAX(0,-CP109)</f>
        <v/>
      </c>
      <c r="CW109" s="14">
        <f>MIN(CV109,MAX(0,CM109))</f>
        <v/>
      </c>
      <c r="CX109" s="22">
        <f>IF(BY109&gt;0,MAX(0,1-BZ109/BY109),0)</f>
        <v/>
      </c>
      <c r="CY109" s="14">
        <f>CQ109*CX109</f>
        <v/>
      </c>
      <c r="CZ109" s="14">
        <f>BY109*(1+M109-$B$19)-CQ109+(CV109-CW109)</f>
        <v/>
      </c>
      <c r="DA109" s="14">
        <f>BZ109-(CQ109-CY109)+(CV109-CW109)</f>
        <v/>
      </c>
      <c r="DB109" s="14">
        <f>CB109*(1+M109)-CD109-CS109-CK109+Z109+AB109</f>
        <v/>
      </c>
      <c r="DC109" s="14">
        <f>CC109*(1+M109)-CE109-CT109-CL109+AA109+AC109</f>
        <v/>
      </c>
      <c r="DD109" s="14">
        <f>CF109*(1+M109)-CU109+CW109</f>
        <v/>
      </c>
      <c r="DE109" s="14">
        <f>CD109+CK109+CS109</f>
        <v/>
      </c>
      <c r="DF109" s="14">
        <f>CA109*household!$B$15*$B$20*(1+tax_tables!$B$17)</f>
        <v/>
      </c>
      <c r="DG109" s="14">
        <f>X109+BS109+BU109+BW109+DE109+DF109+CA109*household!$B$15*(1-$B$20)+(CY109+BO109)*household!$B$15*tax_tables!$B$18+(BP109+BM109+AK109)*household!$B$15-Z109</f>
        <v/>
      </c>
      <c r="DH109" s="14">
        <f>CE109+CL109+CT109</f>
        <v/>
      </c>
      <c r="DI109" s="14">
        <f>CA109*(1-household!$B$15)*$B$20*(1+tax_tables!$B$17)</f>
        <v/>
      </c>
      <c r="DJ109" s="14">
        <f>Y109+BT109+BV109+BX109+DH109+DI109+CA109*(1-household!$B$15)*(1-$B$20)+(CY109+BO109)*(1-household!$B$15)*tax_tables!$B$18+(BP109+BM109+AK109)*(1-household!$B$15)-AA109</f>
        <v/>
      </c>
      <c r="DK109" s="14">
        <f>IF((DG109&gt;=DJ109),MIN(0.5*(BW109+IF(B109&gt;=65,DE109,0)),MAX(0,(DG109-DJ109)/2)),MIN(0.5*(BX109+IF(C109&gt;=65,DH109,0)),MAX(0,(DJ109-DG109)/2)))</f>
        <v/>
      </c>
      <c r="DL109" s="14">
        <f>DG109+IF((DG109&gt;=DJ109),-DK109,DK109)</f>
        <v/>
      </c>
      <c r="DM109" s="14">
        <f>BW109+IF(B109&gt;=65,DE109,0)+IF((DG109&gt;=DJ109),-DK109,DK109)</f>
        <v/>
      </c>
      <c r="DN109" s="14">
        <f>MIN(BU109,tax_tables!$B$22*MAX(0,DL109-tax_tables!$B$21*P109))</f>
        <v/>
      </c>
      <c r="DO109" s="14">
        <f>MAX(0,DL109-DN109)</f>
        <v/>
      </c>
      <c r="DP109" s="14">
        <f>DJ109+IF((DG109&gt;=DJ109),DK109,-DK109)</f>
        <v/>
      </c>
      <c r="DQ109" s="14">
        <f>BX109+IF(C109&gt;=65,DH109,0)+IF((DG109&gt;=DJ109),DK109,-DK109)</f>
        <v/>
      </c>
      <c r="DR109" s="14">
        <f>MIN(BV109,tax_tables!$B$22*MAX(0,DP109-tax_tables!$B$21*P109))</f>
        <v/>
      </c>
      <c r="DS109" s="14">
        <f>MAX(0,DP109-DR109)</f>
        <v/>
      </c>
      <c r="DT109" s="14">
        <f>BJ109-BD109</f>
        <v/>
      </c>
      <c r="DU109" s="14">
        <f>(tax_tables!$B$6-(tax_tables!$B$6-tax_tables!$B$7)*MIN(1,MAX(0,(DL109-tax_tables!$B$8*P109)/((tax_tables!$B$9-tax_tables!$B$8)*P109))))*P109+(B109&gt;=65)*MAX(0,tax_tables!$B$10*P109-tax_tables!$B$12*MAX(0,DL109-tax_tables!$B$11*P109))+MIN(tax_tables!$B$13,DM109)+MIN(tax_tables!$B$14*P109,X109)+AF109+(DL109&lt;=DP109)*MAX(0,DT109-MIN(0.03*DL109,tax_tables!$B$15*P109))</f>
        <v/>
      </c>
      <c r="DV109" s="14">
        <f>MAX(0,SUMPRODUCT((DO109&gt;tax_tables!$E$5:$E$16*P109)*(DO109-tax_tables!$E$5:$E$16*P109)*tax_tables!$G$5:$G$16)-tax_tables!$B$5*DU109-tax_tables!$B$16*DF109)</f>
        <v/>
      </c>
      <c r="DW109" s="14">
        <f>tax_tables!$B$35*Q109+(B109&gt;=65)*MAX(0,tax_tables!$B$36*Q109-tax_tables!$B$12*MAX(0,DL109-tax_tables!$B$37*Q109))+MIN(tax_tables!$B$38,DM109)+AF109+(DL109&lt;=DP109)*MAX(0,DT109-MIN(0.03*DL109,tax_tables!$B$39*Q109))</f>
        <v/>
      </c>
      <c r="DX109" s="14">
        <f>MAX(0,SUMPRODUCT((DO109&gt;tax_tables!$I$5:$I$16*Q109)*(DO109-tax_tables!$I$5:$I$16*Q109)*tax_tables!$K$5:$K$16)-tax_tables!$B$34*DW109-tax_tables!$B$40*DF109-MAX(0,tax_tables!$B$41*Q109-tax_tables!$B$43*MAX(0,DL109-tax_tables!$B$42*Q109)))</f>
        <v/>
      </c>
      <c r="DY109" s="14">
        <f>(tax_tables!$B$6-(tax_tables!$B$6-tax_tables!$B$7)*MIN(1,MAX(0,(DP109-tax_tables!$B$8*P109)/((tax_tables!$B$9-tax_tables!$B$8)*P109))))*P109+(C109&gt;=65)*MAX(0,tax_tables!$B$10*P109-tax_tables!$B$12*MAX(0,DP109-tax_tables!$B$11*P109))+MIN(tax_tables!$B$13,DQ109)+MIN(tax_tables!$B$14*P109,Y109)+AG109+(DL109&gt;DP109)*MAX(0,DT109-MIN(0.03*DP109,tax_tables!$B$15*P109))</f>
        <v/>
      </c>
      <c r="DZ109" s="14">
        <f>MAX(0,SUMPRODUCT((DS109&gt;tax_tables!$E$5:$E$16*P109)*(DS109-tax_tables!$E$5:$E$16*P109)*tax_tables!$G$5:$G$16)-tax_tables!$B$5*DY109-tax_tables!$B$16*DI109)</f>
        <v/>
      </c>
      <c r="EA109" s="14">
        <f>tax_tables!$B$35*Q109+(C109&gt;=65)*MAX(0,tax_tables!$B$36*Q109-tax_tables!$B$12*MAX(0,DP109-tax_tables!$B$37*Q109))+MIN(tax_tables!$B$38,DQ109)+AG109+(DL109&gt;DP109)*MAX(0,DT109-MIN(0.03*DP109,tax_tables!$B$39*Q109))</f>
        <v/>
      </c>
      <c r="EB109" s="14">
        <f>MAX(0,SUMPRODUCT((DS109&gt;tax_tables!$I$5:$I$16*Q109)*(DS109-tax_tables!$I$5:$I$16*Q109)*tax_tables!$K$5:$K$16)-tax_tables!$B$34*EA109-tax_tables!$B$40*DI109-MAX(0,tax_tables!$B$41*Q109-tax_tables!$B$43*MAX(0,DP109-tax_tables!$B$42*Q109)))</f>
        <v/>
      </c>
      <c r="EC109" s="14">
        <f>DV109+DZ109+DX109+EB109+DN109+DR109</f>
        <v/>
      </c>
      <c r="ED109" s="14">
        <f>CZ109+DB109+DC109+DD109</f>
        <v/>
      </c>
      <c r="EE109" s="14">
        <f>ED109+BQ109-AR109+BR109</f>
        <v/>
      </c>
    </row>
    <row r="110">
      <c r="A110" s="21">
        <f>A109+1</f>
        <v/>
      </c>
      <c r="B110" s="21">
        <f>A110-household!$B$6</f>
        <v/>
      </c>
      <c r="C110" s="21">
        <f>A110-household!$B$9</f>
        <v/>
      </c>
      <c r="D110" s="14">
        <f>AU110+AV110+AW110+AX110+BB110+BJ110+AM110</f>
        <v/>
      </c>
      <c r="E110" s="14">
        <f>CN110+AI110+AH110</f>
        <v/>
      </c>
      <c r="F110" s="14">
        <f>BS110+BT110+BU110+BV110</f>
        <v/>
      </c>
      <c r="G110" s="14">
        <f>CQ110+CR110+CU110+CD110+CE110+CA110-CV110+CJ110+CW110</f>
        <v/>
      </c>
      <c r="H110" s="22">
        <f>IF(BY110+CB110+CC110+CF110&lt;=0,"",G110/(BY110+CB110+CC110+CF110))</f>
        <v/>
      </c>
      <c r="I110" s="23">
        <f>ED110/O110</f>
        <v/>
      </c>
      <c r="J110" s="23">
        <f>EE110/O110</f>
        <v/>
      </c>
      <c r="K110" s="14">
        <f>MAX(0,CP110-CQ110-CR110-CU110)</f>
        <v/>
      </c>
      <c r="L110" s="10" t="n"/>
      <c r="M110" s="22">
        <f>IF(L110="",$B$18,L110)</f>
        <v/>
      </c>
      <c r="N110" s="13" t="n"/>
      <c r="O110" s="12">
        <f>(1+$B$17)^(A110-household!$B$4+1)</f>
        <v/>
      </c>
      <c r="P110" s="12">
        <f>(1+$B$17)^(A110-tax_tables!$B$4)</f>
        <v/>
      </c>
      <c r="Q110" s="12">
        <f>(1+$B$17)^(A110-tax_tables!$B$4-MAX(0,MIN(A110,tax_tables!$B$45)-tax_tables!$B$44+1))</f>
        <v/>
      </c>
      <c r="R110" s="12">
        <f>(1+$B$21)^(A110-household!$B$4+1)</f>
        <v/>
      </c>
      <c r="S110" s="12">
        <f>(1+$B$22)^(A110-household!$B$4+1)</f>
        <v/>
      </c>
      <c r="T110" s="12">
        <f>(1+$B$23)^(A110-household!$B$4+1)</f>
        <v/>
      </c>
      <c r="U110" s="21">
        <f>IF(A110&lt;$B$5,1,0)</f>
        <v/>
      </c>
      <c r="V110" s="21">
        <f>IF(A110&lt;$B$6,1,0)</f>
        <v/>
      </c>
      <c r="W110" s="21">
        <f>IF(U110+V110&gt;0,1,0)</f>
        <v/>
      </c>
      <c r="X110" s="14">
        <f>U110*$B$7*O110+SUMPRODUCT(($B$72:$B$77=A110)*($D$72:$D$77="Wages: person 1")*$C$72:$C$77)*O110</f>
        <v/>
      </c>
      <c r="Y110" s="14">
        <f>V110*$B$8*O110+SUMPRODUCT(($B$72:$B$77=A110)*($D$72:$D$77="Wages: person 2")*$C$72:$C$77)*O110</f>
        <v/>
      </c>
      <c r="Z110" s="14">
        <f>U110*$B$9*O110</f>
        <v/>
      </c>
      <c r="AA110" s="14">
        <f>V110*$B$10*O110</f>
        <v/>
      </c>
      <c r="AB110" s="14">
        <f>U110*$B$11*O110</f>
        <v/>
      </c>
      <c r="AC110" s="14">
        <f>V110*$B$12*O110</f>
        <v/>
      </c>
      <c r="AD110" s="14">
        <f>X110+Y110</f>
        <v/>
      </c>
      <c r="AE110" s="14">
        <f>AD110-Z110-AA110</f>
        <v/>
      </c>
      <c r="AF110" s="14">
        <f>tax_tables!$B$25*MAX(0,MIN(X110,tax_tables!$B$27*P110)-tax_tables!$B$26)+tax_tables!$B$28*MAX(0,MIN(X110,tax_tables!$B$29*P110)-tax_tables!$B$27*P110)+tax_tables!$B$30*MIN(X110,tax_tables!$B$31*P110)</f>
        <v/>
      </c>
      <c r="AG110" s="14">
        <f>tax_tables!$B$25*MAX(0,MIN(Y110,tax_tables!$B$27*P110)-tax_tables!$B$26)+tax_tables!$B$28*MAX(0,MIN(Y110,tax_tables!$B$29*P110)-tax_tables!$B$27*P110)+tax_tables!$B$30*MIN(Y110,tax_tables!$B$31*P110)</f>
        <v/>
      </c>
      <c r="AH110" s="14">
        <f>AF110+AG110</f>
        <v/>
      </c>
      <c r="AI110" s="14">
        <f>$B$13*AE110</f>
        <v/>
      </c>
      <c r="AJ110" s="14">
        <f>AD110-Z110-AA110-AH110-AI110</f>
        <v/>
      </c>
      <c r="AK110" s="14">
        <f>SUMPRODUCT(($B$72:$B$77=A110)*($D$72:$D$77="Other taxable income")*$C$72:$C$77)*O110</f>
        <v/>
      </c>
      <c r="AL110" s="14">
        <f>SUMPRODUCT(($B$72:$B$77=A110)*($D$72:$D$77="Tax-free money in")*$C$72:$C$77)*O110</f>
        <v/>
      </c>
      <c r="AM110" s="14">
        <f>SUMPRODUCT(($B$72:$B$77=A110)*($D$72:$D$77="Expense")*$C$72:$C$77)*O110</f>
        <v/>
      </c>
      <c r="AN110" s="21">
        <f>IF(OR($B$64="",A110&lt;$B$64),1,0)</f>
        <v/>
      </c>
      <c r="AO110" s="14">
        <f>AR109</f>
        <v/>
      </c>
      <c r="AP110" s="14">
        <f>AN110*AO110*properties!$J$2</f>
        <v/>
      </c>
      <c r="AQ110" s="14">
        <f>AN110*MIN(properties!$K$2,AO110+AP110)</f>
        <v/>
      </c>
      <c r="AR110" s="14">
        <f>AN110*(AO110+AP110-AQ110)</f>
        <v/>
      </c>
      <c r="AS110" s="14">
        <f>AN110*properties!$G$2*O110</f>
        <v/>
      </c>
      <c r="AT110" s="14">
        <f>(1-AN110)*$E$64*O110</f>
        <v/>
      </c>
      <c r="AU110" s="14">
        <f>AQ110+AS110+AT110</f>
        <v/>
      </c>
      <c r="AV110" s="14">
        <f>SUMIF(budget!$A$2:$A$300,"household",budget!$F$2:$F$300)*O110*IF(N110="",1,N110)</f>
        <v/>
      </c>
      <c r="AW110" s="14">
        <f>SUMPRODUCT((other_budget!$C$2:$C$30&lt;=A110)*(other_budget!$D$2:$D$30&gt;=A110)*other_budget!$B$2:$B$30)*O110</f>
        <v/>
      </c>
      <c r="AX110" s="14">
        <f>SUMPRODUCT((kids_budget!$D$2:$D$40&lt;=A110)*(kids_budget!$E$2:$E$40&gt;=A110)*(kids_budget!$G$2:$G$40&lt;&gt;"college_funds")*kids_budget!$C$2:$C$40*((kids_budget!$F$2:$F$40="college")*S110+(kids_budget!$F$2:$F$40&lt;&gt;"college")*O110))</f>
        <v/>
      </c>
      <c r="AY110" s="14">
        <f>SUMPRODUCT((kids_budget!$D$2:$D$40&lt;=A110)*(kids_budget!$E$2:$E$40&gt;=A110)*(kids_budget!$G$2:$G$40="college_funds")*kids_budget!$C$2:$C$40*((kids_budget!$F$2:$F$40="college")*S110+(kids_budget!$F$2:$F$40&lt;&gt;"college")*O110))</f>
        <v/>
      </c>
      <c r="AZ110" s="14">
        <f>BC109</f>
        <v/>
      </c>
      <c r="BA110" s="14">
        <f>MIN(AY110,AZ110*(1+M110))</f>
        <v/>
      </c>
      <c r="BB110" s="14">
        <f>AY110-BA110</f>
        <v/>
      </c>
      <c r="BC110" s="14">
        <f>AZ110*(1+M110)-BA110</f>
        <v/>
      </c>
      <c r="BD110" s="14">
        <f>W110*healthcare!$B$2*R110</f>
        <v/>
      </c>
      <c r="BE110" s="21">
        <f>(1-W110)*2</f>
        <v/>
      </c>
      <c r="BF110" s="14">
        <f>BE110*healthcare!$B$3*12*R110</f>
        <v/>
      </c>
      <c r="BG110" s="14">
        <f>BE110*healthcare!$B$4*R110</f>
        <v/>
      </c>
      <c r="BH110" s="21">
        <f>AND(B110&gt;=$B$44,B110&lt;$B$44+$B$45)*1+AND(C110&gt;=$B$46,C110&lt;$B$46+$B$47)*1</f>
        <v/>
      </c>
      <c r="BI110" s="14">
        <f>BH110*$B$48*T110</f>
        <v/>
      </c>
      <c r="BJ110" s="14">
        <f>BD110+BF110+BG110+BI110</f>
        <v/>
      </c>
      <c r="BK110" s="14">
        <f>SUMPRODUCT((1-($B$65:$B$68&gt;0)*(A110&gt;=$B$65:$B$68))*(1-(($C$65:$C$68&gt;0)*(A110&gt;=$C$65:$C$68)))*(properties!$L$3:$L$6-properties!$M$3:$M$6))*O110+SUMPRODUCT((1-($B$65:$B$68&gt;0)*(A110&gt;=$B$65:$B$68))*(($C$65:$C$68&gt;0)*(A110&gt;=$C$65:$C$68))*($D$65:$D$68-$E$65:$E$68))*O110</f>
        <v/>
      </c>
      <c r="BL110" s="14">
        <f>SUMPRODUCT((1-($B$65:$B$68&gt;0)*(A110&gt;=$B$65:$B$68))*properties!$N$3:$N$6*(A110&lt;=properties!$O$3:$O$6))</f>
        <v/>
      </c>
      <c r="BM110" s="14">
        <f>MAX(0,BK110-BL110)</f>
        <v/>
      </c>
      <c r="BN110" s="14">
        <f>SUMPRODUCT(($B$64:$B$68=A110)*$G$64:$G$68)</f>
        <v/>
      </c>
      <c r="BO110" s="14">
        <f>SUMPRODUCT(($B$64:$B$68=A110)*$H$64:$H$68)</f>
        <v/>
      </c>
      <c r="BP110" s="14">
        <f>SUMPRODUCT(($B$64:$B$68=A110)*$I$64:$I$68)</f>
        <v/>
      </c>
      <c r="BQ110" s="14">
        <f>AN110*properties!$C$2*(1+properties!$D$2)^(A110-household!$B$4+1)</f>
        <v/>
      </c>
      <c r="BR110" s="14">
        <f>SUMPRODUCT((1-($B$65:$B$68&gt;0)*(A110&gt;=$B$65:$B$68))*properties!$C$3:$C$6*(1+properties!$D$3:$D$6)^(A110-household!$B$4+1))</f>
        <v/>
      </c>
      <c r="BS110" s="14">
        <f>IF(A110&gt;=household!$B$6+$B$26,household!$B$11*12*$B$30*O110,0)</f>
        <v/>
      </c>
      <c r="BT110" s="14">
        <f>IF(A110&gt;=household!$B$9+$B$27,household!$B$12*12*$B$31*O110,0)</f>
        <v/>
      </c>
      <c r="BU110" s="14">
        <f>IF(A110&gt;=household!$B$6+$B$28,tax_tables!$B$19*12*P110*MIN(1,household!$B$13/40)*$B$32*(1+tax_tables!$B$20*(B110&gt;=75)),0)</f>
        <v/>
      </c>
      <c r="BV110" s="14">
        <f>IF(A110&gt;=household!$B$9+$B$29,tax_tables!$B$19*12*P110*MIN(1,household!$B$14/40)*$B$33*(1+tax_tables!$B$20*(C110&gt;=75)),0)</f>
        <v/>
      </c>
      <c r="BW110" s="14">
        <f>IF(AND($B$36&lt;&gt;0,A110&gt;=household!$B$6+$B$37),$B$36*(1+$B$17)^(MAX(household!$B$6+$B$37,household!$B$4-1)-household!$B$4+1)*(1+$B$40*$B$17)^(A110-MAX(household!$B$6+$B$37,household!$B$4-1)),0)</f>
        <v/>
      </c>
      <c r="BX110" s="14">
        <f>IF(AND($B$38&lt;&gt;0,A110&gt;=household!$B$9+$B$39),$B$38*(1+$B$17)^(MAX(household!$B$9+$B$39,household!$B$4-1)-household!$B$4+1)*(1+$B$40*$B$17)^(A110-MAX(household!$B$9+$B$39,household!$B$4-1)),0)</f>
        <v/>
      </c>
      <c r="BY110" s="14">
        <f>CZ109</f>
        <v/>
      </c>
      <c r="BZ110" s="14">
        <f>DA109</f>
        <v/>
      </c>
      <c r="CA110" s="14">
        <f>$B$19*BY110</f>
        <v/>
      </c>
      <c r="CB110" s="14">
        <f>DB109</f>
        <v/>
      </c>
      <c r="CC110" s="14">
        <f>DC109</f>
        <v/>
      </c>
      <c r="CD110" s="14">
        <f>IF(B110&gt;=tax_tables!$B$46,MAX(0,CB110)*INDEX(tax_tables!$N$5:$N$54,MATCH(MIN(B110-1,120),tax_tables!$M$5:$M$54,0)),0)</f>
        <v/>
      </c>
      <c r="CE110" s="14">
        <f>IF(C110&gt;=tax_tables!$B$46,MAX(0,CC110)*INDEX(tax_tables!$N$5:$N$54,MATCH(MIN(C110-1,120),tax_tables!$M$5:$M$54,0)),0)</f>
        <v/>
      </c>
      <c r="CF110" s="14">
        <f>DD109</f>
        <v/>
      </c>
      <c r="CG110" s="14">
        <f>IF(OR($B$52="",$B$53=""),0,IF(AND(A110&gt;=$B$52,A110&lt;=$B$53),$B$51*O110,0))</f>
        <v/>
      </c>
      <c r="CH110" s="14">
        <f>MAX(0,CB110*(1+M110)-CD110)</f>
        <v/>
      </c>
      <c r="CI110" s="14">
        <f>MAX(0,CC110*(1+M110)-CE110)</f>
        <v/>
      </c>
      <c r="CJ110" s="14">
        <f>MIN(CG110,CH110+CI110)</f>
        <v/>
      </c>
      <c r="CK110" s="14">
        <f>IF(CH110+CI110&gt;1,CJ110*CH110/(CH110+CI110),0)</f>
        <v/>
      </c>
      <c r="CL110" s="14">
        <f>CJ110-CK110</f>
        <v/>
      </c>
      <c r="CM110" s="14">
        <f>CM109-CW109+CU109+tax_tables!$B$32*P110*2</f>
        <v/>
      </c>
      <c r="CN110" s="14">
        <f>EC109-AI109</f>
        <v/>
      </c>
      <c r="CO110" s="14">
        <f>AJ110+F110+BW110+BX110+BK110+CA110+CD110+CE110+BN110+AK110+AL110+CJ110</f>
        <v/>
      </c>
      <c r="CP110" s="14">
        <f>D110+CN110-CO110</f>
        <v/>
      </c>
      <c r="CQ110" s="14">
        <f>MAX(0,MIN(CP110,BY110*(1+M110-$B$19)))</f>
        <v/>
      </c>
      <c r="CR110" s="14">
        <f>MAX(0,MIN(CP110-CQ110,(CH110-CK110)+(CI110-CL110)))</f>
        <v/>
      </c>
      <c r="CS110" s="14">
        <f>IF((CH110-CK110)+(CI110-CL110)&gt;1,CR110*(CH110-CK110)/((CH110-CK110)+(CI110-CL110)),0)</f>
        <v/>
      </c>
      <c r="CT110" s="14">
        <f>CR110-CS110</f>
        <v/>
      </c>
      <c r="CU110" s="14">
        <f>MAX(0,MIN(CP110-CQ110-CR110,CF110*(1+M110)))</f>
        <v/>
      </c>
      <c r="CV110" s="14">
        <f>MAX(0,-CP110)</f>
        <v/>
      </c>
      <c r="CW110" s="14">
        <f>MIN(CV110,MAX(0,CM110))</f>
        <v/>
      </c>
      <c r="CX110" s="22">
        <f>IF(BY110&gt;0,MAX(0,1-BZ110/BY110),0)</f>
        <v/>
      </c>
      <c r="CY110" s="14">
        <f>CQ110*CX110</f>
        <v/>
      </c>
      <c r="CZ110" s="14">
        <f>BY110*(1+M110-$B$19)-CQ110+(CV110-CW110)</f>
        <v/>
      </c>
      <c r="DA110" s="14">
        <f>BZ110-(CQ110-CY110)+(CV110-CW110)</f>
        <v/>
      </c>
      <c r="DB110" s="14">
        <f>CB110*(1+M110)-CD110-CS110-CK110+Z110+AB110</f>
        <v/>
      </c>
      <c r="DC110" s="14">
        <f>CC110*(1+M110)-CE110-CT110-CL110+AA110+AC110</f>
        <v/>
      </c>
      <c r="DD110" s="14">
        <f>CF110*(1+M110)-CU110+CW110</f>
        <v/>
      </c>
      <c r="DE110" s="14">
        <f>CD110+CK110+CS110</f>
        <v/>
      </c>
      <c r="DF110" s="14">
        <f>CA110*household!$B$15*$B$20*(1+tax_tables!$B$17)</f>
        <v/>
      </c>
      <c r="DG110" s="14">
        <f>X110+BS110+BU110+BW110+DE110+DF110+CA110*household!$B$15*(1-$B$20)+(CY110+BO110)*household!$B$15*tax_tables!$B$18+(BP110+BM110+AK110)*household!$B$15-Z110</f>
        <v/>
      </c>
      <c r="DH110" s="14">
        <f>CE110+CL110+CT110</f>
        <v/>
      </c>
      <c r="DI110" s="14">
        <f>CA110*(1-household!$B$15)*$B$20*(1+tax_tables!$B$17)</f>
        <v/>
      </c>
      <c r="DJ110" s="14">
        <f>Y110+BT110+BV110+BX110+DH110+DI110+CA110*(1-household!$B$15)*(1-$B$20)+(CY110+BO110)*(1-household!$B$15)*tax_tables!$B$18+(BP110+BM110+AK110)*(1-household!$B$15)-AA110</f>
        <v/>
      </c>
      <c r="DK110" s="14">
        <f>IF((DG110&gt;=DJ110),MIN(0.5*(BW110+IF(B110&gt;=65,DE110,0)),MAX(0,(DG110-DJ110)/2)),MIN(0.5*(BX110+IF(C110&gt;=65,DH110,0)),MAX(0,(DJ110-DG110)/2)))</f>
        <v/>
      </c>
      <c r="DL110" s="14">
        <f>DG110+IF((DG110&gt;=DJ110),-DK110,DK110)</f>
        <v/>
      </c>
      <c r="DM110" s="14">
        <f>BW110+IF(B110&gt;=65,DE110,0)+IF((DG110&gt;=DJ110),-DK110,DK110)</f>
        <v/>
      </c>
      <c r="DN110" s="14">
        <f>MIN(BU110,tax_tables!$B$22*MAX(0,DL110-tax_tables!$B$21*P110))</f>
        <v/>
      </c>
      <c r="DO110" s="14">
        <f>MAX(0,DL110-DN110)</f>
        <v/>
      </c>
      <c r="DP110" s="14">
        <f>DJ110+IF((DG110&gt;=DJ110),DK110,-DK110)</f>
        <v/>
      </c>
      <c r="DQ110" s="14">
        <f>BX110+IF(C110&gt;=65,DH110,0)+IF((DG110&gt;=DJ110),DK110,-DK110)</f>
        <v/>
      </c>
      <c r="DR110" s="14">
        <f>MIN(BV110,tax_tables!$B$22*MAX(0,DP110-tax_tables!$B$21*P110))</f>
        <v/>
      </c>
      <c r="DS110" s="14">
        <f>MAX(0,DP110-DR110)</f>
        <v/>
      </c>
      <c r="DT110" s="14">
        <f>BJ110-BD110</f>
        <v/>
      </c>
      <c r="DU110" s="14">
        <f>(tax_tables!$B$6-(tax_tables!$B$6-tax_tables!$B$7)*MIN(1,MAX(0,(DL110-tax_tables!$B$8*P110)/((tax_tables!$B$9-tax_tables!$B$8)*P110))))*P110+(B110&gt;=65)*MAX(0,tax_tables!$B$10*P110-tax_tables!$B$12*MAX(0,DL110-tax_tables!$B$11*P110))+MIN(tax_tables!$B$13,DM110)+MIN(tax_tables!$B$14*P110,X110)+AF110+(DL110&lt;=DP110)*MAX(0,DT110-MIN(0.03*DL110,tax_tables!$B$15*P110))</f>
        <v/>
      </c>
      <c r="DV110" s="14">
        <f>MAX(0,SUMPRODUCT((DO110&gt;tax_tables!$E$5:$E$16*P110)*(DO110-tax_tables!$E$5:$E$16*P110)*tax_tables!$G$5:$G$16)-tax_tables!$B$5*DU110-tax_tables!$B$16*DF110)</f>
        <v/>
      </c>
      <c r="DW110" s="14">
        <f>tax_tables!$B$35*Q110+(B110&gt;=65)*MAX(0,tax_tables!$B$36*Q110-tax_tables!$B$12*MAX(0,DL110-tax_tables!$B$37*Q110))+MIN(tax_tables!$B$38,DM110)+AF110+(DL110&lt;=DP110)*MAX(0,DT110-MIN(0.03*DL110,tax_tables!$B$39*Q110))</f>
        <v/>
      </c>
      <c r="DX110" s="14">
        <f>MAX(0,SUMPRODUCT((DO110&gt;tax_tables!$I$5:$I$16*Q110)*(DO110-tax_tables!$I$5:$I$16*Q110)*tax_tables!$K$5:$K$16)-tax_tables!$B$34*DW110-tax_tables!$B$40*DF110-MAX(0,tax_tables!$B$41*Q110-tax_tables!$B$43*MAX(0,DL110-tax_tables!$B$42*Q110)))</f>
        <v/>
      </c>
      <c r="DY110" s="14">
        <f>(tax_tables!$B$6-(tax_tables!$B$6-tax_tables!$B$7)*MIN(1,MAX(0,(DP110-tax_tables!$B$8*P110)/((tax_tables!$B$9-tax_tables!$B$8)*P110))))*P110+(C110&gt;=65)*MAX(0,tax_tables!$B$10*P110-tax_tables!$B$12*MAX(0,DP110-tax_tables!$B$11*P110))+MIN(tax_tables!$B$13,DQ110)+MIN(tax_tables!$B$14*P110,Y110)+AG110+(DL110&gt;DP110)*MAX(0,DT110-MIN(0.03*DP110,tax_tables!$B$15*P110))</f>
        <v/>
      </c>
      <c r="DZ110" s="14">
        <f>MAX(0,SUMPRODUCT((DS110&gt;tax_tables!$E$5:$E$16*P110)*(DS110-tax_tables!$E$5:$E$16*P110)*tax_tables!$G$5:$G$16)-tax_tables!$B$5*DY110-tax_tables!$B$16*DI110)</f>
        <v/>
      </c>
      <c r="EA110" s="14">
        <f>tax_tables!$B$35*Q110+(C110&gt;=65)*MAX(0,tax_tables!$B$36*Q110-tax_tables!$B$12*MAX(0,DP110-tax_tables!$B$37*Q110))+MIN(tax_tables!$B$38,DQ110)+AG110+(DL110&gt;DP110)*MAX(0,DT110-MIN(0.03*DP110,tax_tables!$B$39*Q110))</f>
        <v/>
      </c>
      <c r="EB110" s="14">
        <f>MAX(0,SUMPRODUCT((DS110&gt;tax_tables!$I$5:$I$16*Q110)*(DS110-tax_tables!$I$5:$I$16*Q110)*tax_tables!$K$5:$K$16)-tax_tables!$B$34*EA110-tax_tables!$B$40*DI110-MAX(0,tax_tables!$B$41*Q110-tax_tables!$B$43*MAX(0,DP110-tax_tables!$B$42*Q110)))</f>
        <v/>
      </c>
      <c r="EC110" s="14">
        <f>DV110+DZ110+DX110+EB110+DN110+DR110</f>
        <v/>
      </c>
      <c r="ED110" s="14">
        <f>CZ110+DB110+DC110+DD110</f>
        <v/>
      </c>
      <c r="EE110" s="14">
        <f>ED110+BQ110-AR110+BR110</f>
        <v/>
      </c>
    </row>
    <row r="111">
      <c r="A111" s="21">
        <f>A110+1</f>
        <v/>
      </c>
      <c r="B111" s="21">
        <f>A111-household!$B$6</f>
        <v/>
      </c>
      <c r="C111" s="21">
        <f>A111-household!$B$9</f>
        <v/>
      </c>
      <c r="D111" s="14">
        <f>AU111+AV111+AW111+AX111+BB111+BJ111+AM111</f>
        <v/>
      </c>
      <c r="E111" s="14">
        <f>CN111+AI111+AH111</f>
        <v/>
      </c>
      <c r="F111" s="14">
        <f>BS111+BT111+BU111+BV111</f>
        <v/>
      </c>
      <c r="G111" s="14">
        <f>CQ111+CR111+CU111+CD111+CE111+CA111-CV111+CJ111+CW111</f>
        <v/>
      </c>
      <c r="H111" s="22">
        <f>IF(BY111+CB111+CC111+CF111&lt;=0,"",G111/(BY111+CB111+CC111+CF111))</f>
        <v/>
      </c>
      <c r="I111" s="23">
        <f>ED111/O111</f>
        <v/>
      </c>
      <c r="J111" s="23">
        <f>EE111/O111</f>
        <v/>
      </c>
      <c r="K111" s="14">
        <f>MAX(0,CP111-CQ111-CR111-CU111)</f>
        <v/>
      </c>
      <c r="L111" s="10" t="n"/>
      <c r="M111" s="22">
        <f>IF(L111="",$B$18,L111)</f>
        <v/>
      </c>
      <c r="N111" s="13" t="n"/>
      <c r="O111" s="12">
        <f>(1+$B$17)^(A111-household!$B$4+1)</f>
        <v/>
      </c>
      <c r="P111" s="12">
        <f>(1+$B$17)^(A111-tax_tables!$B$4)</f>
        <v/>
      </c>
      <c r="Q111" s="12">
        <f>(1+$B$17)^(A111-tax_tables!$B$4-MAX(0,MIN(A111,tax_tables!$B$45)-tax_tables!$B$44+1))</f>
        <v/>
      </c>
      <c r="R111" s="12">
        <f>(1+$B$21)^(A111-household!$B$4+1)</f>
        <v/>
      </c>
      <c r="S111" s="12">
        <f>(1+$B$22)^(A111-household!$B$4+1)</f>
        <v/>
      </c>
      <c r="T111" s="12">
        <f>(1+$B$23)^(A111-household!$B$4+1)</f>
        <v/>
      </c>
      <c r="U111" s="21">
        <f>IF(A111&lt;$B$5,1,0)</f>
        <v/>
      </c>
      <c r="V111" s="21">
        <f>IF(A111&lt;$B$6,1,0)</f>
        <v/>
      </c>
      <c r="W111" s="21">
        <f>IF(U111+V111&gt;0,1,0)</f>
        <v/>
      </c>
      <c r="X111" s="14">
        <f>U111*$B$7*O111+SUMPRODUCT(($B$72:$B$77=A111)*($D$72:$D$77="Wages: person 1")*$C$72:$C$77)*O111</f>
        <v/>
      </c>
      <c r="Y111" s="14">
        <f>V111*$B$8*O111+SUMPRODUCT(($B$72:$B$77=A111)*($D$72:$D$77="Wages: person 2")*$C$72:$C$77)*O111</f>
        <v/>
      </c>
      <c r="Z111" s="14">
        <f>U111*$B$9*O111</f>
        <v/>
      </c>
      <c r="AA111" s="14">
        <f>V111*$B$10*O111</f>
        <v/>
      </c>
      <c r="AB111" s="14">
        <f>U111*$B$11*O111</f>
        <v/>
      </c>
      <c r="AC111" s="14">
        <f>V111*$B$12*O111</f>
        <v/>
      </c>
      <c r="AD111" s="14">
        <f>X111+Y111</f>
        <v/>
      </c>
      <c r="AE111" s="14">
        <f>AD111-Z111-AA111</f>
        <v/>
      </c>
      <c r="AF111" s="14">
        <f>tax_tables!$B$25*MAX(0,MIN(X111,tax_tables!$B$27*P111)-tax_tables!$B$26)+tax_tables!$B$28*MAX(0,MIN(X111,tax_tables!$B$29*P111)-tax_tables!$B$27*P111)+tax_tables!$B$30*MIN(X111,tax_tables!$B$31*P111)</f>
        <v/>
      </c>
      <c r="AG111" s="14">
        <f>tax_tables!$B$25*MAX(0,MIN(Y111,tax_tables!$B$27*P111)-tax_tables!$B$26)+tax_tables!$B$28*MAX(0,MIN(Y111,tax_tables!$B$29*P111)-tax_tables!$B$27*P111)+tax_tables!$B$30*MIN(Y111,tax_tables!$B$31*P111)</f>
        <v/>
      </c>
      <c r="AH111" s="14">
        <f>AF111+AG111</f>
        <v/>
      </c>
      <c r="AI111" s="14">
        <f>$B$13*AE111</f>
        <v/>
      </c>
      <c r="AJ111" s="14">
        <f>AD111-Z111-AA111-AH111-AI111</f>
        <v/>
      </c>
      <c r="AK111" s="14">
        <f>SUMPRODUCT(($B$72:$B$77=A111)*($D$72:$D$77="Other taxable income")*$C$72:$C$77)*O111</f>
        <v/>
      </c>
      <c r="AL111" s="14">
        <f>SUMPRODUCT(($B$72:$B$77=A111)*($D$72:$D$77="Tax-free money in")*$C$72:$C$77)*O111</f>
        <v/>
      </c>
      <c r="AM111" s="14">
        <f>SUMPRODUCT(($B$72:$B$77=A111)*($D$72:$D$77="Expense")*$C$72:$C$77)*O111</f>
        <v/>
      </c>
      <c r="AN111" s="21">
        <f>IF(OR($B$64="",A111&lt;$B$64),1,0)</f>
        <v/>
      </c>
      <c r="AO111" s="14">
        <f>AR110</f>
        <v/>
      </c>
      <c r="AP111" s="14">
        <f>AN111*AO111*properties!$J$2</f>
        <v/>
      </c>
      <c r="AQ111" s="14">
        <f>AN111*MIN(properties!$K$2,AO111+AP111)</f>
        <v/>
      </c>
      <c r="AR111" s="14">
        <f>AN111*(AO111+AP111-AQ111)</f>
        <v/>
      </c>
      <c r="AS111" s="14">
        <f>AN111*properties!$G$2*O111</f>
        <v/>
      </c>
      <c r="AT111" s="14">
        <f>(1-AN111)*$E$64*O111</f>
        <v/>
      </c>
      <c r="AU111" s="14">
        <f>AQ111+AS111+AT111</f>
        <v/>
      </c>
      <c r="AV111" s="14">
        <f>SUMIF(budget!$A$2:$A$300,"household",budget!$F$2:$F$300)*O111*IF(N111="",1,N111)</f>
        <v/>
      </c>
      <c r="AW111" s="14">
        <f>SUMPRODUCT((other_budget!$C$2:$C$30&lt;=A111)*(other_budget!$D$2:$D$30&gt;=A111)*other_budget!$B$2:$B$30)*O111</f>
        <v/>
      </c>
      <c r="AX111" s="14">
        <f>SUMPRODUCT((kids_budget!$D$2:$D$40&lt;=A111)*(kids_budget!$E$2:$E$40&gt;=A111)*(kids_budget!$G$2:$G$40&lt;&gt;"college_funds")*kids_budget!$C$2:$C$40*((kids_budget!$F$2:$F$40="college")*S111+(kids_budget!$F$2:$F$40&lt;&gt;"college")*O111))</f>
        <v/>
      </c>
      <c r="AY111" s="14">
        <f>SUMPRODUCT((kids_budget!$D$2:$D$40&lt;=A111)*(kids_budget!$E$2:$E$40&gt;=A111)*(kids_budget!$G$2:$G$40="college_funds")*kids_budget!$C$2:$C$40*((kids_budget!$F$2:$F$40="college")*S111+(kids_budget!$F$2:$F$40&lt;&gt;"college")*O111))</f>
        <v/>
      </c>
      <c r="AZ111" s="14">
        <f>BC110</f>
        <v/>
      </c>
      <c r="BA111" s="14">
        <f>MIN(AY111,AZ111*(1+M111))</f>
        <v/>
      </c>
      <c r="BB111" s="14">
        <f>AY111-BA111</f>
        <v/>
      </c>
      <c r="BC111" s="14">
        <f>AZ111*(1+M111)-BA111</f>
        <v/>
      </c>
      <c r="BD111" s="14">
        <f>W111*healthcare!$B$2*R111</f>
        <v/>
      </c>
      <c r="BE111" s="21">
        <f>(1-W111)*2</f>
        <v/>
      </c>
      <c r="BF111" s="14">
        <f>BE111*healthcare!$B$3*12*R111</f>
        <v/>
      </c>
      <c r="BG111" s="14">
        <f>BE111*healthcare!$B$4*R111</f>
        <v/>
      </c>
      <c r="BH111" s="21">
        <f>AND(B111&gt;=$B$44,B111&lt;$B$44+$B$45)*1+AND(C111&gt;=$B$46,C111&lt;$B$46+$B$47)*1</f>
        <v/>
      </c>
      <c r="BI111" s="14">
        <f>BH111*$B$48*T111</f>
        <v/>
      </c>
      <c r="BJ111" s="14">
        <f>BD111+BF111+BG111+BI111</f>
        <v/>
      </c>
      <c r="BK111" s="14">
        <f>SUMPRODUCT((1-($B$65:$B$68&gt;0)*(A111&gt;=$B$65:$B$68))*(1-(($C$65:$C$68&gt;0)*(A111&gt;=$C$65:$C$68)))*(properties!$L$3:$L$6-properties!$M$3:$M$6))*O111+SUMPRODUCT((1-($B$65:$B$68&gt;0)*(A111&gt;=$B$65:$B$68))*(($C$65:$C$68&gt;0)*(A111&gt;=$C$65:$C$68))*($D$65:$D$68-$E$65:$E$68))*O111</f>
        <v/>
      </c>
      <c r="BL111" s="14">
        <f>SUMPRODUCT((1-($B$65:$B$68&gt;0)*(A111&gt;=$B$65:$B$68))*properties!$N$3:$N$6*(A111&lt;=properties!$O$3:$O$6))</f>
        <v/>
      </c>
      <c r="BM111" s="14">
        <f>MAX(0,BK111-BL111)</f>
        <v/>
      </c>
      <c r="BN111" s="14">
        <f>SUMPRODUCT(($B$64:$B$68=A111)*$G$64:$G$68)</f>
        <v/>
      </c>
      <c r="BO111" s="14">
        <f>SUMPRODUCT(($B$64:$B$68=A111)*$H$64:$H$68)</f>
        <v/>
      </c>
      <c r="BP111" s="14">
        <f>SUMPRODUCT(($B$64:$B$68=A111)*$I$64:$I$68)</f>
        <v/>
      </c>
      <c r="BQ111" s="14">
        <f>AN111*properties!$C$2*(1+properties!$D$2)^(A111-household!$B$4+1)</f>
        <v/>
      </c>
      <c r="BR111" s="14">
        <f>SUMPRODUCT((1-($B$65:$B$68&gt;0)*(A111&gt;=$B$65:$B$68))*properties!$C$3:$C$6*(1+properties!$D$3:$D$6)^(A111-household!$B$4+1))</f>
        <v/>
      </c>
      <c r="BS111" s="14">
        <f>IF(A111&gt;=household!$B$6+$B$26,household!$B$11*12*$B$30*O111,0)</f>
        <v/>
      </c>
      <c r="BT111" s="14">
        <f>IF(A111&gt;=household!$B$9+$B$27,household!$B$12*12*$B$31*O111,0)</f>
        <v/>
      </c>
      <c r="BU111" s="14">
        <f>IF(A111&gt;=household!$B$6+$B$28,tax_tables!$B$19*12*P111*MIN(1,household!$B$13/40)*$B$32*(1+tax_tables!$B$20*(B111&gt;=75)),0)</f>
        <v/>
      </c>
      <c r="BV111" s="14">
        <f>IF(A111&gt;=household!$B$9+$B$29,tax_tables!$B$19*12*P111*MIN(1,household!$B$14/40)*$B$33*(1+tax_tables!$B$20*(C111&gt;=75)),0)</f>
        <v/>
      </c>
      <c r="BW111" s="14">
        <f>IF(AND($B$36&lt;&gt;0,A111&gt;=household!$B$6+$B$37),$B$36*(1+$B$17)^(MAX(household!$B$6+$B$37,household!$B$4-1)-household!$B$4+1)*(1+$B$40*$B$17)^(A111-MAX(household!$B$6+$B$37,household!$B$4-1)),0)</f>
        <v/>
      </c>
      <c r="BX111" s="14">
        <f>IF(AND($B$38&lt;&gt;0,A111&gt;=household!$B$9+$B$39),$B$38*(1+$B$17)^(MAX(household!$B$9+$B$39,household!$B$4-1)-household!$B$4+1)*(1+$B$40*$B$17)^(A111-MAX(household!$B$9+$B$39,household!$B$4-1)),0)</f>
        <v/>
      </c>
      <c r="BY111" s="14">
        <f>CZ110</f>
        <v/>
      </c>
      <c r="BZ111" s="14">
        <f>DA110</f>
        <v/>
      </c>
      <c r="CA111" s="14">
        <f>$B$19*BY111</f>
        <v/>
      </c>
      <c r="CB111" s="14">
        <f>DB110</f>
        <v/>
      </c>
      <c r="CC111" s="14">
        <f>DC110</f>
        <v/>
      </c>
      <c r="CD111" s="14">
        <f>IF(B111&gt;=tax_tables!$B$46,MAX(0,CB111)*INDEX(tax_tables!$N$5:$N$54,MATCH(MIN(B111-1,120),tax_tables!$M$5:$M$54,0)),0)</f>
        <v/>
      </c>
      <c r="CE111" s="14">
        <f>IF(C111&gt;=tax_tables!$B$46,MAX(0,CC111)*INDEX(tax_tables!$N$5:$N$54,MATCH(MIN(C111-1,120),tax_tables!$M$5:$M$54,0)),0)</f>
        <v/>
      </c>
      <c r="CF111" s="14">
        <f>DD110</f>
        <v/>
      </c>
      <c r="CG111" s="14">
        <f>IF(OR($B$52="",$B$53=""),0,IF(AND(A111&gt;=$B$52,A111&lt;=$B$53),$B$51*O111,0))</f>
        <v/>
      </c>
      <c r="CH111" s="14">
        <f>MAX(0,CB111*(1+M111)-CD111)</f>
        <v/>
      </c>
      <c r="CI111" s="14">
        <f>MAX(0,CC111*(1+M111)-CE111)</f>
        <v/>
      </c>
      <c r="CJ111" s="14">
        <f>MIN(CG111,CH111+CI111)</f>
        <v/>
      </c>
      <c r="CK111" s="14">
        <f>IF(CH111+CI111&gt;1,CJ111*CH111/(CH111+CI111),0)</f>
        <v/>
      </c>
      <c r="CL111" s="14">
        <f>CJ111-CK111</f>
        <v/>
      </c>
      <c r="CM111" s="14">
        <f>CM110-CW110+CU110+tax_tables!$B$32*P111*2</f>
        <v/>
      </c>
      <c r="CN111" s="14">
        <f>EC110-AI110</f>
        <v/>
      </c>
      <c r="CO111" s="14">
        <f>AJ111+F111+BW111+BX111+BK111+CA111+CD111+CE111+BN111+AK111+AL111+CJ111</f>
        <v/>
      </c>
      <c r="CP111" s="14">
        <f>D111+CN111-CO111</f>
        <v/>
      </c>
      <c r="CQ111" s="14">
        <f>MAX(0,MIN(CP111,BY111*(1+M111-$B$19)))</f>
        <v/>
      </c>
      <c r="CR111" s="14">
        <f>MAX(0,MIN(CP111-CQ111,(CH111-CK111)+(CI111-CL111)))</f>
        <v/>
      </c>
      <c r="CS111" s="14">
        <f>IF((CH111-CK111)+(CI111-CL111)&gt;1,CR111*(CH111-CK111)/((CH111-CK111)+(CI111-CL111)),0)</f>
        <v/>
      </c>
      <c r="CT111" s="14">
        <f>CR111-CS111</f>
        <v/>
      </c>
      <c r="CU111" s="14">
        <f>MAX(0,MIN(CP111-CQ111-CR111,CF111*(1+M111)))</f>
        <v/>
      </c>
      <c r="CV111" s="14">
        <f>MAX(0,-CP111)</f>
        <v/>
      </c>
      <c r="CW111" s="14">
        <f>MIN(CV111,MAX(0,CM111))</f>
        <v/>
      </c>
      <c r="CX111" s="22">
        <f>IF(BY111&gt;0,MAX(0,1-BZ111/BY111),0)</f>
        <v/>
      </c>
      <c r="CY111" s="14">
        <f>CQ111*CX111</f>
        <v/>
      </c>
      <c r="CZ111" s="14">
        <f>BY111*(1+M111-$B$19)-CQ111+(CV111-CW111)</f>
        <v/>
      </c>
      <c r="DA111" s="14">
        <f>BZ111-(CQ111-CY111)+(CV111-CW111)</f>
        <v/>
      </c>
      <c r="DB111" s="14">
        <f>CB111*(1+M111)-CD111-CS111-CK111+Z111+AB111</f>
        <v/>
      </c>
      <c r="DC111" s="14">
        <f>CC111*(1+M111)-CE111-CT111-CL111+AA111+AC111</f>
        <v/>
      </c>
      <c r="DD111" s="14">
        <f>CF111*(1+M111)-CU111+CW111</f>
        <v/>
      </c>
      <c r="DE111" s="14">
        <f>CD111+CK111+CS111</f>
        <v/>
      </c>
      <c r="DF111" s="14">
        <f>CA111*household!$B$15*$B$20*(1+tax_tables!$B$17)</f>
        <v/>
      </c>
      <c r="DG111" s="14">
        <f>X111+BS111+BU111+BW111+DE111+DF111+CA111*household!$B$15*(1-$B$20)+(CY111+BO111)*household!$B$15*tax_tables!$B$18+(BP111+BM111+AK111)*household!$B$15-Z111</f>
        <v/>
      </c>
      <c r="DH111" s="14">
        <f>CE111+CL111+CT111</f>
        <v/>
      </c>
      <c r="DI111" s="14">
        <f>CA111*(1-household!$B$15)*$B$20*(1+tax_tables!$B$17)</f>
        <v/>
      </c>
      <c r="DJ111" s="14">
        <f>Y111+BT111+BV111+BX111+DH111+DI111+CA111*(1-household!$B$15)*(1-$B$20)+(CY111+BO111)*(1-household!$B$15)*tax_tables!$B$18+(BP111+BM111+AK111)*(1-household!$B$15)-AA111</f>
        <v/>
      </c>
      <c r="DK111" s="14">
        <f>IF((DG111&gt;=DJ111),MIN(0.5*(BW111+IF(B111&gt;=65,DE111,0)),MAX(0,(DG111-DJ111)/2)),MIN(0.5*(BX111+IF(C111&gt;=65,DH111,0)),MAX(0,(DJ111-DG111)/2)))</f>
        <v/>
      </c>
      <c r="DL111" s="14">
        <f>DG111+IF((DG111&gt;=DJ111),-DK111,DK111)</f>
        <v/>
      </c>
      <c r="DM111" s="14">
        <f>BW111+IF(B111&gt;=65,DE111,0)+IF((DG111&gt;=DJ111),-DK111,DK111)</f>
        <v/>
      </c>
      <c r="DN111" s="14">
        <f>MIN(BU111,tax_tables!$B$22*MAX(0,DL111-tax_tables!$B$21*P111))</f>
        <v/>
      </c>
      <c r="DO111" s="14">
        <f>MAX(0,DL111-DN111)</f>
        <v/>
      </c>
      <c r="DP111" s="14">
        <f>DJ111+IF((DG111&gt;=DJ111),DK111,-DK111)</f>
        <v/>
      </c>
      <c r="DQ111" s="14">
        <f>BX111+IF(C111&gt;=65,DH111,0)+IF((DG111&gt;=DJ111),DK111,-DK111)</f>
        <v/>
      </c>
      <c r="DR111" s="14">
        <f>MIN(BV111,tax_tables!$B$22*MAX(0,DP111-tax_tables!$B$21*P111))</f>
        <v/>
      </c>
      <c r="DS111" s="14">
        <f>MAX(0,DP111-DR111)</f>
        <v/>
      </c>
      <c r="DT111" s="14">
        <f>BJ111-BD111</f>
        <v/>
      </c>
      <c r="DU111" s="14">
        <f>(tax_tables!$B$6-(tax_tables!$B$6-tax_tables!$B$7)*MIN(1,MAX(0,(DL111-tax_tables!$B$8*P111)/((tax_tables!$B$9-tax_tables!$B$8)*P111))))*P111+(B111&gt;=65)*MAX(0,tax_tables!$B$10*P111-tax_tables!$B$12*MAX(0,DL111-tax_tables!$B$11*P111))+MIN(tax_tables!$B$13,DM111)+MIN(tax_tables!$B$14*P111,X111)+AF111+(DL111&lt;=DP111)*MAX(0,DT111-MIN(0.03*DL111,tax_tables!$B$15*P111))</f>
        <v/>
      </c>
      <c r="DV111" s="14">
        <f>MAX(0,SUMPRODUCT((DO111&gt;tax_tables!$E$5:$E$16*P111)*(DO111-tax_tables!$E$5:$E$16*P111)*tax_tables!$G$5:$G$16)-tax_tables!$B$5*DU111-tax_tables!$B$16*DF111)</f>
        <v/>
      </c>
      <c r="DW111" s="14">
        <f>tax_tables!$B$35*Q111+(B111&gt;=65)*MAX(0,tax_tables!$B$36*Q111-tax_tables!$B$12*MAX(0,DL111-tax_tables!$B$37*Q111))+MIN(tax_tables!$B$38,DM111)+AF111+(DL111&lt;=DP111)*MAX(0,DT111-MIN(0.03*DL111,tax_tables!$B$39*Q111))</f>
        <v/>
      </c>
      <c r="DX111" s="14">
        <f>MAX(0,SUMPRODUCT((DO111&gt;tax_tables!$I$5:$I$16*Q111)*(DO111-tax_tables!$I$5:$I$16*Q111)*tax_tables!$K$5:$K$16)-tax_tables!$B$34*DW111-tax_tables!$B$40*DF111-MAX(0,tax_tables!$B$41*Q111-tax_tables!$B$43*MAX(0,DL111-tax_tables!$B$42*Q111)))</f>
        <v/>
      </c>
      <c r="DY111" s="14">
        <f>(tax_tables!$B$6-(tax_tables!$B$6-tax_tables!$B$7)*MIN(1,MAX(0,(DP111-tax_tables!$B$8*P111)/((tax_tables!$B$9-tax_tables!$B$8)*P111))))*P111+(C111&gt;=65)*MAX(0,tax_tables!$B$10*P111-tax_tables!$B$12*MAX(0,DP111-tax_tables!$B$11*P111))+MIN(tax_tables!$B$13,DQ111)+MIN(tax_tables!$B$14*P111,Y111)+AG111+(DL111&gt;DP111)*MAX(0,DT111-MIN(0.03*DP111,tax_tables!$B$15*P111))</f>
        <v/>
      </c>
      <c r="DZ111" s="14">
        <f>MAX(0,SUMPRODUCT((DS111&gt;tax_tables!$E$5:$E$16*P111)*(DS111-tax_tables!$E$5:$E$16*P111)*tax_tables!$G$5:$G$16)-tax_tables!$B$5*DY111-tax_tables!$B$16*DI111)</f>
        <v/>
      </c>
      <c r="EA111" s="14">
        <f>tax_tables!$B$35*Q111+(C111&gt;=65)*MAX(0,tax_tables!$B$36*Q111-tax_tables!$B$12*MAX(0,DP111-tax_tables!$B$37*Q111))+MIN(tax_tables!$B$38,DQ111)+AG111+(DL111&gt;DP111)*MAX(0,DT111-MIN(0.03*DP111,tax_tables!$B$39*Q111))</f>
        <v/>
      </c>
      <c r="EB111" s="14">
        <f>MAX(0,SUMPRODUCT((DS111&gt;tax_tables!$I$5:$I$16*Q111)*(DS111-tax_tables!$I$5:$I$16*Q111)*tax_tables!$K$5:$K$16)-tax_tables!$B$34*EA111-tax_tables!$B$40*DI111-MAX(0,tax_tables!$B$41*Q111-tax_tables!$B$43*MAX(0,DP111-tax_tables!$B$42*Q111)))</f>
        <v/>
      </c>
      <c r="EC111" s="14">
        <f>DV111+DZ111+DX111+EB111+DN111+DR111</f>
        <v/>
      </c>
      <c r="ED111" s="14">
        <f>CZ111+DB111+DC111+DD111</f>
        <v/>
      </c>
      <c r="EE111" s="14">
        <f>ED111+BQ111-AR111+BR111</f>
        <v/>
      </c>
    </row>
    <row r="112">
      <c r="A112" s="21">
        <f>A111+1</f>
        <v/>
      </c>
      <c r="B112" s="21">
        <f>A112-household!$B$6</f>
        <v/>
      </c>
      <c r="C112" s="21">
        <f>A112-household!$B$9</f>
        <v/>
      </c>
      <c r="D112" s="14">
        <f>AU112+AV112+AW112+AX112+BB112+BJ112+AM112</f>
        <v/>
      </c>
      <c r="E112" s="14">
        <f>CN112+AI112+AH112</f>
        <v/>
      </c>
      <c r="F112" s="14">
        <f>BS112+BT112+BU112+BV112</f>
        <v/>
      </c>
      <c r="G112" s="14">
        <f>CQ112+CR112+CU112+CD112+CE112+CA112-CV112+CJ112+CW112</f>
        <v/>
      </c>
      <c r="H112" s="22">
        <f>IF(BY112+CB112+CC112+CF112&lt;=0,"",G112/(BY112+CB112+CC112+CF112))</f>
        <v/>
      </c>
      <c r="I112" s="23">
        <f>ED112/O112</f>
        <v/>
      </c>
      <c r="J112" s="23">
        <f>EE112/O112</f>
        <v/>
      </c>
      <c r="K112" s="14">
        <f>MAX(0,CP112-CQ112-CR112-CU112)</f>
        <v/>
      </c>
      <c r="L112" s="10" t="n"/>
      <c r="M112" s="22">
        <f>IF(L112="",$B$18,L112)</f>
        <v/>
      </c>
      <c r="N112" s="13" t="n"/>
      <c r="O112" s="12">
        <f>(1+$B$17)^(A112-household!$B$4+1)</f>
        <v/>
      </c>
      <c r="P112" s="12">
        <f>(1+$B$17)^(A112-tax_tables!$B$4)</f>
        <v/>
      </c>
      <c r="Q112" s="12">
        <f>(1+$B$17)^(A112-tax_tables!$B$4-MAX(0,MIN(A112,tax_tables!$B$45)-tax_tables!$B$44+1))</f>
        <v/>
      </c>
      <c r="R112" s="12">
        <f>(1+$B$21)^(A112-household!$B$4+1)</f>
        <v/>
      </c>
      <c r="S112" s="12">
        <f>(1+$B$22)^(A112-household!$B$4+1)</f>
        <v/>
      </c>
      <c r="T112" s="12">
        <f>(1+$B$23)^(A112-household!$B$4+1)</f>
        <v/>
      </c>
      <c r="U112" s="21">
        <f>IF(A112&lt;$B$5,1,0)</f>
        <v/>
      </c>
      <c r="V112" s="21">
        <f>IF(A112&lt;$B$6,1,0)</f>
        <v/>
      </c>
      <c r="W112" s="21">
        <f>IF(U112+V112&gt;0,1,0)</f>
        <v/>
      </c>
      <c r="X112" s="14">
        <f>U112*$B$7*O112+SUMPRODUCT(($B$72:$B$77=A112)*($D$72:$D$77="Wages: person 1")*$C$72:$C$77)*O112</f>
        <v/>
      </c>
      <c r="Y112" s="14">
        <f>V112*$B$8*O112+SUMPRODUCT(($B$72:$B$77=A112)*($D$72:$D$77="Wages: person 2")*$C$72:$C$77)*O112</f>
        <v/>
      </c>
      <c r="Z112" s="14">
        <f>U112*$B$9*O112</f>
        <v/>
      </c>
      <c r="AA112" s="14">
        <f>V112*$B$10*O112</f>
        <v/>
      </c>
      <c r="AB112" s="14">
        <f>U112*$B$11*O112</f>
        <v/>
      </c>
      <c r="AC112" s="14">
        <f>V112*$B$12*O112</f>
        <v/>
      </c>
      <c r="AD112" s="14">
        <f>X112+Y112</f>
        <v/>
      </c>
      <c r="AE112" s="14">
        <f>AD112-Z112-AA112</f>
        <v/>
      </c>
      <c r="AF112" s="14">
        <f>tax_tables!$B$25*MAX(0,MIN(X112,tax_tables!$B$27*P112)-tax_tables!$B$26)+tax_tables!$B$28*MAX(0,MIN(X112,tax_tables!$B$29*P112)-tax_tables!$B$27*P112)+tax_tables!$B$30*MIN(X112,tax_tables!$B$31*P112)</f>
        <v/>
      </c>
      <c r="AG112" s="14">
        <f>tax_tables!$B$25*MAX(0,MIN(Y112,tax_tables!$B$27*P112)-tax_tables!$B$26)+tax_tables!$B$28*MAX(0,MIN(Y112,tax_tables!$B$29*P112)-tax_tables!$B$27*P112)+tax_tables!$B$30*MIN(Y112,tax_tables!$B$31*P112)</f>
        <v/>
      </c>
      <c r="AH112" s="14">
        <f>AF112+AG112</f>
        <v/>
      </c>
      <c r="AI112" s="14">
        <f>$B$13*AE112</f>
        <v/>
      </c>
      <c r="AJ112" s="14">
        <f>AD112-Z112-AA112-AH112-AI112</f>
        <v/>
      </c>
      <c r="AK112" s="14">
        <f>SUMPRODUCT(($B$72:$B$77=A112)*($D$72:$D$77="Other taxable income")*$C$72:$C$77)*O112</f>
        <v/>
      </c>
      <c r="AL112" s="14">
        <f>SUMPRODUCT(($B$72:$B$77=A112)*($D$72:$D$77="Tax-free money in")*$C$72:$C$77)*O112</f>
        <v/>
      </c>
      <c r="AM112" s="14">
        <f>SUMPRODUCT(($B$72:$B$77=A112)*($D$72:$D$77="Expense")*$C$72:$C$77)*O112</f>
        <v/>
      </c>
      <c r="AN112" s="21">
        <f>IF(OR($B$64="",A112&lt;$B$64),1,0)</f>
        <v/>
      </c>
      <c r="AO112" s="14">
        <f>AR111</f>
        <v/>
      </c>
      <c r="AP112" s="14">
        <f>AN112*AO112*properties!$J$2</f>
        <v/>
      </c>
      <c r="AQ112" s="14">
        <f>AN112*MIN(properties!$K$2,AO112+AP112)</f>
        <v/>
      </c>
      <c r="AR112" s="14">
        <f>AN112*(AO112+AP112-AQ112)</f>
        <v/>
      </c>
      <c r="AS112" s="14">
        <f>AN112*properties!$G$2*O112</f>
        <v/>
      </c>
      <c r="AT112" s="14">
        <f>(1-AN112)*$E$64*O112</f>
        <v/>
      </c>
      <c r="AU112" s="14">
        <f>AQ112+AS112+AT112</f>
        <v/>
      </c>
      <c r="AV112" s="14">
        <f>SUMIF(budget!$A$2:$A$300,"household",budget!$F$2:$F$300)*O112*IF(N112="",1,N112)</f>
        <v/>
      </c>
      <c r="AW112" s="14">
        <f>SUMPRODUCT((other_budget!$C$2:$C$30&lt;=A112)*(other_budget!$D$2:$D$30&gt;=A112)*other_budget!$B$2:$B$30)*O112</f>
        <v/>
      </c>
      <c r="AX112" s="14">
        <f>SUMPRODUCT((kids_budget!$D$2:$D$40&lt;=A112)*(kids_budget!$E$2:$E$40&gt;=A112)*(kids_budget!$G$2:$G$40&lt;&gt;"college_funds")*kids_budget!$C$2:$C$40*((kids_budget!$F$2:$F$40="college")*S112+(kids_budget!$F$2:$F$40&lt;&gt;"college")*O112))</f>
        <v/>
      </c>
      <c r="AY112" s="14">
        <f>SUMPRODUCT((kids_budget!$D$2:$D$40&lt;=A112)*(kids_budget!$E$2:$E$40&gt;=A112)*(kids_budget!$G$2:$G$40="college_funds")*kids_budget!$C$2:$C$40*((kids_budget!$F$2:$F$40="college")*S112+(kids_budget!$F$2:$F$40&lt;&gt;"college")*O112))</f>
        <v/>
      </c>
      <c r="AZ112" s="14">
        <f>BC111</f>
        <v/>
      </c>
      <c r="BA112" s="14">
        <f>MIN(AY112,AZ112*(1+M112))</f>
        <v/>
      </c>
      <c r="BB112" s="14">
        <f>AY112-BA112</f>
        <v/>
      </c>
      <c r="BC112" s="14">
        <f>AZ112*(1+M112)-BA112</f>
        <v/>
      </c>
      <c r="BD112" s="14">
        <f>W112*healthcare!$B$2*R112</f>
        <v/>
      </c>
      <c r="BE112" s="21">
        <f>(1-W112)*2</f>
        <v/>
      </c>
      <c r="BF112" s="14">
        <f>BE112*healthcare!$B$3*12*R112</f>
        <v/>
      </c>
      <c r="BG112" s="14">
        <f>BE112*healthcare!$B$4*R112</f>
        <v/>
      </c>
      <c r="BH112" s="21">
        <f>AND(B112&gt;=$B$44,B112&lt;$B$44+$B$45)*1+AND(C112&gt;=$B$46,C112&lt;$B$46+$B$47)*1</f>
        <v/>
      </c>
      <c r="BI112" s="14">
        <f>BH112*$B$48*T112</f>
        <v/>
      </c>
      <c r="BJ112" s="14">
        <f>BD112+BF112+BG112+BI112</f>
        <v/>
      </c>
      <c r="BK112" s="14">
        <f>SUMPRODUCT((1-($B$65:$B$68&gt;0)*(A112&gt;=$B$65:$B$68))*(1-(($C$65:$C$68&gt;0)*(A112&gt;=$C$65:$C$68)))*(properties!$L$3:$L$6-properties!$M$3:$M$6))*O112+SUMPRODUCT((1-($B$65:$B$68&gt;0)*(A112&gt;=$B$65:$B$68))*(($C$65:$C$68&gt;0)*(A112&gt;=$C$65:$C$68))*($D$65:$D$68-$E$65:$E$68))*O112</f>
        <v/>
      </c>
      <c r="BL112" s="14">
        <f>SUMPRODUCT((1-($B$65:$B$68&gt;0)*(A112&gt;=$B$65:$B$68))*properties!$N$3:$N$6*(A112&lt;=properties!$O$3:$O$6))</f>
        <v/>
      </c>
      <c r="BM112" s="14">
        <f>MAX(0,BK112-BL112)</f>
        <v/>
      </c>
      <c r="BN112" s="14">
        <f>SUMPRODUCT(($B$64:$B$68=A112)*$G$64:$G$68)</f>
        <v/>
      </c>
      <c r="BO112" s="14">
        <f>SUMPRODUCT(($B$64:$B$68=A112)*$H$64:$H$68)</f>
        <v/>
      </c>
      <c r="BP112" s="14">
        <f>SUMPRODUCT(($B$64:$B$68=A112)*$I$64:$I$68)</f>
        <v/>
      </c>
      <c r="BQ112" s="14">
        <f>AN112*properties!$C$2*(1+properties!$D$2)^(A112-household!$B$4+1)</f>
        <v/>
      </c>
      <c r="BR112" s="14">
        <f>SUMPRODUCT((1-($B$65:$B$68&gt;0)*(A112&gt;=$B$65:$B$68))*properties!$C$3:$C$6*(1+properties!$D$3:$D$6)^(A112-household!$B$4+1))</f>
        <v/>
      </c>
      <c r="BS112" s="14">
        <f>IF(A112&gt;=household!$B$6+$B$26,household!$B$11*12*$B$30*O112,0)</f>
        <v/>
      </c>
      <c r="BT112" s="14">
        <f>IF(A112&gt;=household!$B$9+$B$27,household!$B$12*12*$B$31*O112,0)</f>
        <v/>
      </c>
      <c r="BU112" s="14">
        <f>IF(A112&gt;=household!$B$6+$B$28,tax_tables!$B$19*12*P112*MIN(1,household!$B$13/40)*$B$32*(1+tax_tables!$B$20*(B112&gt;=75)),0)</f>
        <v/>
      </c>
      <c r="BV112" s="14">
        <f>IF(A112&gt;=household!$B$9+$B$29,tax_tables!$B$19*12*P112*MIN(1,household!$B$14/40)*$B$33*(1+tax_tables!$B$20*(C112&gt;=75)),0)</f>
        <v/>
      </c>
      <c r="BW112" s="14">
        <f>IF(AND($B$36&lt;&gt;0,A112&gt;=household!$B$6+$B$37),$B$36*(1+$B$17)^(MAX(household!$B$6+$B$37,household!$B$4-1)-household!$B$4+1)*(1+$B$40*$B$17)^(A112-MAX(household!$B$6+$B$37,household!$B$4-1)),0)</f>
        <v/>
      </c>
      <c r="BX112" s="14">
        <f>IF(AND($B$38&lt;&gt;0,A112&gt;=household!$B$9+$B$39),$B$38*(1+$B$17)^(MAX(household!$B$9+$B$39,household!$B$4-1)-household!$B$4+1)*(1+$B$40*$B$17)^(A112-MAX(household!$B$9+$B$39,household!$B$4-1)),0)</f>
        <v/>
      </c>
      <c r="BY112" s="14">
        <f>CZ111</f>
        <v/>
      </c>
      <c r="BZ112" s="14">
        <f>DA111</f>
        <v/>
      </c>
      <c r="CA112" s="14">
        <f>$B$19*BY112</f>
        <v/>
      </c>
      <c r="CB112" s="14">
        <f>DB111</f>
        <v/>
      </c>
      <c r="CC112" s="14">
        <f>DC111</f>
        <v/>
      </c>
      <c r="CD112" s="14">
        <f>IF(B112&gt;=tax_tables!$B$46,MAX(0,CB112)*INDEX(tax_tables!$N$5:$N$54,MATCH(MIN(B112-1,120),tax_tables!$M$5:$M$54,0)),0)</f>
        <v/>
      </c>
      <c r="CE112" s="14">
        <f>IF(C112&gt;=tax_tables!$B$46,MAX(0,CC112)*INDEX(tax_tables!$N$5:$N$54,MATCH(MIN(C112-1,120),tax_tables!$M$5:$M$54,0)),0)</f>
        <v/>
      </c>
      <c r="CF112" s="14">
        <f>DD111</f>
        <v/>
      </c>
      <c r="CG112" s="14">
        <f>IF(OR($B$52="",$B$53=""),0,IF(AND(A112&gt;=$B$52,A112&lt;=$B$53),$B$51*O112,0))</f>
        <v/>
      </c>
      <c r="CH112" s="14">
        <f>MAX(0,CB112*(1+M112)-CD112)</f>
        <v/>
      </c>
      <c r="CI112" s="14">
        <f>MAX(0,CC112*(1+M112)-CE112)</f>
        <v/>
      </c>
      <c r="CJ112" s="14">
        <f>MIN(CG112,CH112+CI112)</f>
        <v/>
      </c>
      <c r="CK112" s="14">
        <f>IF(CH112+CI112&gt;1,CJ112*CH112/(CH112+CI112),0)</f>
        <v/>
      </c>
      <c r="CL112" s="14">
        <f>CJ112-CK112</f>
        <v/>
      </c>
      <c r="CM112" s="14">
        <f>CM111-CW111+CU111+tax_tables!$B$32*P112*2</f>
        <v/>
      </c>
      <c r="CN112" s="14">
        <f>EC111-AI111</f>
        <v/>
      </c>
      <c r="CO112" s="14">
        <f>AJ112+F112+BW112+BX112+BK112+CA112+CD112+CE112+BN112+AK112+AL112+CJ112</f>
        <v/>
      </c>
      <c r="CP112" s="14">
        <f>D112+CN112-CO112</f>
        <v/>
      </c>
      <c r="CQ112" s="14">
        <f>MAX(0,MIN(CP112,BY112*(1+M112-$B$19)))</f>
        <v/>
      </c>
      <c r="CR112" s="14">
        <f>MAX(0,MIN(CP112-CQ112,(CH112-CK112)+(CI112-CL112)))</f>
        <v/>
      </c>
      <c r="CS112" s="14">
        <f>IF((CH112-CK112)+(CI112-CL112)&gt;1,CR112*(CH112-CK112)/((CH112-CK112)+(CI112-CL112)),0)</f>
        <v/>
      </c>
      <c r="CT112" s="14">
        <f>CR112-CS112</f>
        <v/>
      </c>
      <c r="CU112" s="14">
        <f>MAX(0,MIN(CP112-CQ112-CR112,CF112*(1+M112)))</f>
        <v/>
      </c>
      <c r="CV112" s="14">
        <f>MAX(0,-CP112)</f>
        <v/>
      </c>
      <c r="CW112" s="14">
        <f>MIN(CV112,MAX(0,CM112))</f>
        <v/>
      </c>
      <c r="CX112" s="22">
        <f>IF(BY112&gt;0,MAX(0,1-BZ112/BY112),0)</f>
        <v/>
      </c>
      <c r="CY112" s="14">
        <f>CQ112*CX112</f>
        <v/>
      </c>
      <c r="CZ112" s="14">
        <f>BY112*(1+M112-$B$19)-CQ112+(CV112-CW112)</f>
        <v/>
      </c>
      <c r="DA112" s="14">
        <f>BZ112-(CQ112-CY112)+(CV112-CW112)</f>
        <v/>
      </c>
      <c r="DB112" s="14">
        <f>CB112*(1+M112)-CD112-CS112-CK112+Z112+AB112</f>
        <v/>
      </c>
      <c r="DC112" s="14">
        <f>CC112*(1+M112)-CE112-CT112-CL112+AA112+AC112</f>
        <v/>
      </c>
      <c r="DD112" s="14">
        <f>CF112*(1+M112)-CU112+CW112</f>
        <v/>
      </c>
      <c r="DE112" s="14">
        <f>CD112+CK112+CS112</f>
        <v/>
      </c>
      <c r="DF112" s="14">
        <f>CA112*household!$B$15*$B$20*(1+tax_tables!$B$17)</f>
        <v/>
      </c>
      <c r="DG112" s="14">
        <f>X112+BS112+BU112+BW112+DE112+DF112+CA112*household!$B$15*(1-$B$20)+(CY112+BO112)*household!$B$15*tax_tables!$B$18+(BP112+BM112+AK112)*household!$B$15-Z112</f>
        <v/>
      </c>
      <c r="DH112" s="14">
        <f>CE112+CL112+CT112</f>
        <v/>
      </c>
      <c r="DI112" s="14">
        <f>CA112*(1-household!$B$15)*$B$20*(1+tax_tables!$B$17)</f>
        <v/>
      </c>
      <c r="DJ112" s="14">
        <f>Y112+BT112+BV112+BX112+DH112+DI112+CA112*(1-household!$B$15)*(1-$B$20)+(CY112+BO112)*(1-household!$B$15)*tax_tables!$B$18+(BP112+BM112+AK112)*(1-household!$B$15)-AA112</f>
        <v/>
      </c>
      <c r="DK112" s="14">
        <f>IF((DG112&gt;=DJ112),MIN(0.5*(BW112+IF(B112&gt;=65,DE112,0)),MAX(0,(DG112-DJ112)/2)),MIN(0.5*(BX112+IF(C112&gt;=65,DH112,0)),MAX(0,(DJ112-DG112)/2)))</f>
        <v/>
      </c>
      <c r="DL112" s="14">
        <f>DG112+IF((DG112&gt;=DJ112),-DK112,DK112)</f>
        <v/>
      </c>
      <c r="DM112" s="14">
        <f>BW112+IF(B112&gt;=65,DE112,0)+IF((DG112&gt;=DJ112),-DK112,DK112)</f>
        <v/>
      </c>
      <c r="DN112" s="14">
        <f>MIN(BU112,tax_tables!$B$22*MAX(0,DL112-tax_tables!$B$21*P112))</f>
        <v/>
      </c>
      <c r="DO112" s="14">
        <f>MAX(0,DL112-DN112)</f>
        <v/>
      </c>
      <c r="DP112" s="14">
        <f>DJ112+IF((DG112&gt;=DJ112),DK112,-DK112)</f>
        <v/>
      </c>
      <c r="DQ112" s="14">
        <f>BX112+IF(C112&gt;=65,DH112,0)+IF((DG112&gt;=DJ112),DK112,-DK112)</f>
        <v/>
      </c>
      <c r="DR112" s="14">
        <f>MIN(BV112,tax_tables!$B$22*MAX(0,DP112-tax_tables!$B$21*P112))</f>
        <v/>
      </c>
      <c r="DS112" s="14">
        <f>MAX(0,DP112-DR112)</f>
        <v/>
      </c>
      <c r="DT112" s="14">
        <f>BJ112-BD112</f>
        <v/>
      </c>
      <c r="DU112" s="14">
        <f>(tax_tables!$B$6-(tax_tables!$B$6-tax_tables!$B$7)*MIN(1,MAX(0,(DL112-tax_tables!$B$8*P112)/((tax_tables!$B$9-tax_tables!$B$8)*P112))))*P112+(B112&gt;=65)*MAX(0,tax_tables!$B$10*P112-tax_tables!$B$12*MAX(0,DL112-tax_tables!$B$11*P112))+MIN(tax_tables!$B$13,DM112)+MIN(tax_tables!$B$14*P112,X112)+AF112+(DL112&lt;=DP112)*MAX(0,DT112-MIN(0.03*DL112,tax_tables!$B$15*P112))</f>
        <v/>
      </c>
      <c r="DV112" s="14">
        <f>MAX(0,SUMPRODUCT((DO112&gt;tax_tables!$E$5:$E$16*P112)*(DO112-tax_tables!$E$5:$E$16*P112)*tax_tables!$G$5:$G$16)-tax_tables!$B$5*DU112-tax_tables!$B$16*DF112)</f>
        <v/>
      </c>
      <c r="DW112" s="14">
        <f>tax_tables!$B$35*Q112+(B112&gt;=65)*MAX(0,tax_tables!$B$36*Q112-tax_tables!$B$12*MAX(0,DL112-tax_tables!$B$37*Q112))+MIN(tax_tables!$B$38,DM112)+AF112+(DL112&lt;=DP112)*MAX(0,DT112-MIN(0.03*DL112,tax_tables!$B$39*Q112))</f>
        <v/>
      </c>
      <c r="DX112" s="14">
        <f>MAX(0,SUMPRODUCT((DO112&gt;tax_tables!$I$5:$I$16*Q112)*(DO112-tax_tables!$I$5:$I$16*Q112)*tax_tables!$K$5:$K$16)-tax_tables!$B$34*DW112-tax_tables!$B$40*DF112-MAX(0,tax_tables!$B$41*Q112-tax_tables!$B$43*MAX(0,DL112-tax_tables!$B$42*Q112)))</f>
        <v/>
      </c>
      <c r="DY112" s="14">
        <f>(tax_tables!$B$6-(tax_tables!$B$6-tax_tables!$B$7)*MIN(1,MAX(0,(DP112-tax_tables!$B$8*P112)/((tax_tables!$B$9-tax_tables!$B$8)*P112))))*P112+(C112&gt;=65)*MAX(0,tax_tables!$B$10*P112-tax_tables!$B$12*MAX(0,DP112-tax_tables!$B$11*P112))+MIN(tax_tables!$B$13,DQ112)+MIN(tax_tables!$B$14*P112,Y112)+AG112+(DL112&gt;DP112)*MAX(0,DT112-MIN(0.03*DP112,tax_tables!$B$15*P112))</f>
        <v/>
      </c>
      <c r="DZ112" s="14">
        <f>MAX(0,SUMPRODUCT((DS112&gt;tax_tables!$E$5:$E$16*P112)*(DS112-tax_tables!$E$5:$E$16*P112)*tax_tables!$G$5:$G$16)-tax_tables!$B$5*DY112-tax_tables!$B$16*DI112)</f>
        <v/>
      </c>
      <c r="EA112" s="14">
        <f>tax_tables!$B$35*Q112+(C112&gt;=65)*MAX(0,tax_tables!$B$36*Q112-tax_tables!$B$12*MAX(0,DP112-tax_tables!$B$37*Q112))+MIN(tax_tables!$B$38,DQ112)+AG112+(DL112&gt;DP112)*MAX(0,DT112-MIN(0.03*DP112,tax_tables!$B$39*Q112))</f>
        <v/>
      </c>
      <c r="EB112" s="14">
        <f>MAX(0,SUMPRODUCT((DS112&gt;tax_tables!$I$5:$I$16*Q112)*(DS112-tax_tables!$I$5:$I$16*Q112)*tax_tables!$K$5:$K$16)-tax_tables!$B$34*EA112-tax_tables!$B$40*DI112-MAX(0,tax_tables!$B$41*Q112-tax_tables!$B$43*MAX(0,DP112-tax_tables!$B$42*Q112)))</f>
        <v/>
      </c>
      <c r="EC112" s="14">
        <f>DV112+DZ112+DX112+EB112+DN112+DR112</f>
        <v/>
      </c>
      <c r="ED112" s="14">
        <f>CZ112+DB112+DC112+DD112</f>
        <v/>
      </c>
      <c r="EE112" s="14">
        <f>ED112+BQ112-AR112+BR112</f>
        <v/>
      </c>
    </row>
    <row r="113">
      <c r="A113" s="21">
        <f>A112+1</f>
        <v/>
      </c>
      <c r="B113" s="21">
        <f>A113-household!$B$6</f>
        <v/>
      </c>
      <c r="C113" s="21">
        <f>A113-household!$B$9</f>
        <v/>
      </c>
      <c r="D113" s="14">
        <f>AU113+AV113+AW113+AX113+BB113+BJ113+AM113</f>
        <v/>
      </c>
      <c r="E113" s="14">
        <f>CN113+AI113+AH113</f>
        <v/>
      </c>
      <c r="F113" s="14">
        <f>BS113+BT113+BU113+BV113</f>
        <v/>
      </c>
      <c r="G113" s="14">
        <f>CQ113+CR113+CU113+CD113+CE113+CA113-CV113+CJ113+CW113</f>
        <v/>
      </c>
      <c r="H113" s="22">
        <f>IF(BY113+CB113+CC113+CF113&lt;=0,"",G113/(BY113+CB113+CC113+CF113))</f>
        <v/>
      </c>
      <c r="I113" s="23">
        <f>ED113/O113</f>
        <v/>
      </c>
      <c r="J113" s="23">
        <f>EE113/O113</f>
        <v/>
      </c>
      <c r="K113" s="14">
        <f>MAX(0,CP113-CQ113-CR113-CU113)</f>
        <v/>
      </c>
      <c r="L113" s="10" t="n"/>
      <c r="M113" s="22">
        <f>IF(L113="",$B$18,L113)</f>
        <v/>
      </c>
      <c r="N113" s="13" t="n"/>
      <c r="O113" s="12">
        <f>(1+$B$17)^(A113-household!$B$4+1)</f>
        <v/>
      </c>
      <c r="P113" s="12">
        <f>(1+$B$17)^(A113-tax_tables!$B$4)</f>
        <v/>
      </c>
      <c r="Q113" s="12">
        <f>(1+$B$17)^(A113-tax_tables!$B$4-MAX(0,MIN(A113,tax_tables!$B$45)-tax_tables!$B$44+1))</f>
        <v/>
      </c>
      <c r="R113" s="12">
        <f>(1+$B$21)^(A113-household!$B$4+1)</f>
        <v/>
      </c>
      <c r="S113" s="12">
        <f>(1+$B$22)^(A113-household!$B$4+1)</f>
        <v/>
      </c>
      <c r="T113" s="12">
        <f>(1+$B$23)^(A113-household!$B$4+1)</f>
        <v/>
      </c>
      <c r="U113" s="21">
        <f>IF(A113&lt;$B$5,1,0)</f>
        <v/>
      </c>
      <c r="V113" s="21">
        <f>IF(A113&lt;$B$6,1,0)</f>
        <v/>
      </c>
      <c r="W113" s="21">
        <f>IF(U113+V113&gt;0,1,0)</f>
        <v/>
      </c>
      <c r="X113" s="14">
        <f>U113*$B$7*O113+SUMPRODUCT(($B$72:$B$77=A113)*($D$72:$D$77="Wages: person 1")*$C$72:$C$77)*O113</f>
        <v/>
      </c>
      <c r="Y113" s="14">
        <f>V113*$B$8*O113+SUMPRODUCT(($B$72:$B$77=A113)*($D$72:$D$77="Wages: person 2")*$C$72:$C$77)*O113</f>
        <v/>
      </c>
      <c r="Z113" s="14">
        <f>U113*$B$9*O113</f>
        <v/>
      </c>
      <c r="AA113" s="14">
        <f>V113*$B$10*O113</f>
        <v/>
      </c>
      <c r="AB113" s="14">
        <f>U113*$B$11*O113</f>
        <v/>
      </c>
      <c r="AC113" s="14">
        <f>V113*$B$12*O113</f>
        <v/>
      </c>
      <c r="AD113" s="14">
        <f>X113+Y113</f>
        <v/>
      </c>
      <c r="AE113" s="14">
        <f>AD113-Z113-AA113</f>
        <v/>
      </c>
      <c r="AF113" s="14">
        <f>tax_tables!$B$25*MAX(0,MIN(X113,tax_tables!$B$27*P113)-tax_tables!$B$26)+tax_tables!$B$28*MAX(0,MIN(X113,tax_tables!$B$29*P113)-tax_tables!$B$27*P113)+tax_tables!$B$30*MIN(X113,tax_tables!$B$31*P113)</f>
        <v/>
      </c>
      <c r="AG113" s="14">
        <f>tax_tables!$B$25*MAX(0,MIN(Y113,tax_tables!$B$27*P113)-tax_tables!$B$26)+tax_tables!$B$28*MAX(0,MIN(Y113,tax_tables!$B$29*P113)-tax_tables!$B$27*P113)+tax_tables!$B$30*MIN(Y113,tax_tables!$B$31*P113)</f>
        <v/>
      </c>
      <c r="AH113" s="14">
        <f>AF113+AG113</f>
        <v/>
      </c>
      <c r="AI113" s="14">
        <f>$B$13*AE113</f>
        <v/>
      </c>
      <c r="AJ113" s="14">
        <f>AD113-Z113-AA113-AH113-AI113</f>
        <v/>
      </c>
      <c r="AK113" s="14">
        <f>SUMPRODUCT(($B$72:$B$77=A113)*($D$72:$D$77="Other taxable income")*$C$72:$C$77)*O113</f>
        <v/>
      </c>
      <c r="AL113" s="14">
        <f>SUMPRODUCT(($B$72:$B$77=A113)*($D$72:$D$77="Tax-free money in")*$C$72:$C$77)*O113</f>
        <v/>
      </c>
      <c r="AM113" s="14">
        <f>SUMPRODUCT(($B$72:$B$77=A113)*($D$72:$D$77="Expense")*$C$72:$C$77)*O113</f>
        <v/>
      </c>
      <c r="AN113" s="21">
        <f>IF(OR($B$64="",A113&lt;$B$64),1,0)</f>
        <v/>
      </c>
      <c r="AO113" s="14">
        <f>AR112</f>
        <v/>
      </c>
      <c r="AP113" s="14">
        <f>AN113*AO113*properties!$J$2</f>
        <v/>
      </c>
      <c r="AQ113" s="14">
        <f>AN113*MIN(properties!$K$2,AO113+AP113)</f>
        <v/>
      </c>
      <c r="AR113" s="14">
        <f>AN113*(AO113+AP113-AQ113)</f>
        <v/>
      </c>
      <c r="AS113" s="14">
        <f>AN113*properties!$G$2*O113</f>
        <v/>
      </c>
      <c r="AT113" s="14">
        <f>(1-AN113)*$E$64*O113</f>
        <v/>
      </c>
      <c r="AU113" s="14">
        <f>AQ113+AS113+AT113</f>
        <v/>
      </c>
      <c r="AV113" s="14">
        <f>SUMIF(budget!$A$2:$A$300,"household",budget!$F$2:$F$300)*O113*IF(N113="",1,N113)</f>
        <v/>
      </c>
      <c r="AW113" s="14">
        <f>SUMPRODUCT((other_budget!$C$2:$C$30&lt;=A113)*(other_budget!$D$2:$D$30&gt;=A113)*other_budget!$B$2:$B$30)*O113</f>
        <v/>
      </c>
      <c r="AX113" s="14">
        <f>SUMPRODUCT((kids_budget!$D$2:$D$40&lt;=A113)*(kids_budget!$E$2:$E$40&gt;=A113)*(kids_budget!$G$2:$G$40&lt;&gt;"college_funds")*kids_budget!$C$2:$C$40*((kids_budget!$F$2:$F$40="college")*S113+(kids_budget!$F$2:$F$40&lt;&gt;"college")*O113))</f>
        <v/>
      </c>
      <c r="AY113" s="14">
        <f>SUMPRODUCT((kids_budget!$D$2:$D$40&lt;=A113)*(kids_budget!$E$2:$E$40&gt;=A113)*(kids_budget!$G$2:$G$40="college_funds")*kids_budget!$C$2:$C$40*((kids_budget!$F$2:$F$40="college")*S113+(kids_budget!$F$2:$F$40&lt;&gt;"college")*O113))</f>
        <v/>
      </c>
      <c r="AZ113" s="14">
        <f>BC112</f>
        <v/>
      </c>
      <c r="BA113" s="14">
        <f>MIN(AY113,AZ113*(1+M113))</f>
        <v/>
      </c>
      <c r="BB113" s="14">
        <f>AY113-BA113</f>
        <v/>
      </c>
      <c r="BC113" s="14">
        <f>AZ113*(1+M113)-BA113</f>
        <v/>
      </c>
      <c r="BD113" s="14">
        <f>W113*healthcare!$B$2*R113</f>
        <v/>
      </c>
      <c r="BE113" s="21">
        <f>(1-W113)*2</f>
        <v/>
      </c>
      <c r="BF113" s="14">
        <f>BE113*healthcare!$B$3*12*R113</f>
        <v/>
      </c>
      <c r="BG113" s="14">
        <f>BE113*healthcare!$B$4*R113</f>
        <v/>
      </c>
      <c r="BH113" s="21">
        <f>AND(B113&gt;=$B$44,B113&lt;$B$44+$B$45)*1+AND(C113&gt;=$B$46,C113&lt;$B$46+$B$47)*1</f>
        <v/>
      </c>
      <c r="BI113" s="14">
        <f>BH113*$B$48*T113</f>
        <v/>
      </c>
      <c r="BJ113" s="14">
        <f>BD113+BF113+BG113+BI113</f>
        <v/>
      </c>
      <c r="BK113" s="14">
        <f>SUMPRODUCT((1-($B$65:$B$68&gt;0)*(A113&gt;=$B$65:$B$68))*(1-(($C$65:$C$68&gt;0)*(A113&gt;=$C$65:$C$68)))*(properties!$L$3:$L$6-properties!$M$3:$M$6))*O113+SUMPRODUCT((1-($B$65:$B$68&gt;0)*(A113&gt;=$B$65:$B$68))*(($C$65:$C$68&gt;0)*(A113&gt;=$C$65:$C$68))*($D$65:$D$68-$E$65:$E$68))*O113</f>
        <v/>
      </c>
      <c r="BL113" s="14">
        <f>SUMPRODUCT((1-($B$65:$B$68&gt;0)*(A113&gt;=$B$65:$B$68))*properties!$N$3:$N$6*(A113&lt;=properties!$O$3:$O$6))</f>
        <v/>
      </c>
      <c r="BM113" s="14">
        <f>MAX(0,BK113-BL113)</f>
        <v/>
      </c>
      <c r="BN113" s="14">
        <f>SUMPRODUCT(($B$64:$B$68=A113)*$G$64:$G$68)</f>
        <v/>
      </c>
      <c r="BO113" s="14">
        <f>SUMPRODUCT(($B$64:$B$68=A113)*$H$64:$H$68)</f>
        <v/>
      </c>
      <c r="BP113" s="14">
        <f>SUMPRODUCT(($B$64:$B$68=A113)*$I$64:$I$68)</f>
        <v/>
      </c>
      <c r="BQ113" s="14">
        <f>AN113*properties!$C$2*(1+properties!$D$2)^(A113-household!$B$4+1)</f>
        <v/>
      </c>
      <c r="BR113" s="14">
        <f>SUMPRODUCT((1-($B$65:$B$68&gt;0)*(A113&gt;=$B$65:$B$68))*properties!$C$3:$C$6*(1+properties!$D$3:$D$6)^(A113-household!$B$4+1))</f>
        <v/>
      </c>
      <c r="BS113" s="14">
        <f>IF(A113&gt;=household!$B$6+$B$26,household!$B$11*12*$B$30*O113,0)</f>
        <v/>
      </c>
      <c r="BT113" s="14">
        <f>IF(A113&gt;=household!$B$9+$B$27,household!$B$12*12*$B$31*O113,0)</f>
        <v/>
      </c>
      <c r="BU113" s="14">
        <f>IF(A113&gt;=household!$B$6+$B$28,tax_tables!$B$19*12*P113*MIN(1,household!$B$13/40)*$B$32*(1+tax_tables!$B$20*(B113&gt;=75)),0)</f>
        <v/>
      </c>
      <c r="BV113" s="14">
        <f>IF(A113&gt;=household!$B$9+$B$29,tax_tables!$B$19*12*P113*MIN(1,household!$B$14/40)*$B$33*(1+tax_tables!$B$20*(C113&gt;=75)),0)</f>
        <v/>
      </c>
      <c r="BW113" s="14">
        <f>IF(AND($B$36&lt;&gt;0,A113&gt;=household!$B$6+$B$37),$B$36*(1+$B$17)^(MAX(household!$B$6+$B$37,household!$B$4-1)-household!$B$4+1)*(1+$B$40*$B$17)^(A113-MAX(household!$B$6+$B$37,household!$B$4-1)),0)</f>
        <v/>
      </c>
      <c r="BX113" s="14">
        <f>IF(AND($B$38&lt;&gt;0,A113&gt;=household!$B$9+$B$39),$B$38*(1+$B$17)^(MAX(household!$B$9+$B$39,household!$B$4-1)-household!$B$4+1)*(1+$B$40*$B$17)^(A113-MAX(household!$B$9+$B$39,household!$B$4-1)),0)</f>
        <v/>
      </c>
      <c r="BY113" s="14">
        <f>CZ112</f>
        <v/>
      </c>
      <c r="BZ113" s="14">
        <f>DA112</f>
        <v/>
      </c>
      <c r="CA113" s="14">
        <f>$B$19*BY113</f>
        <v/>
      </c>
      <c r="CB113" s="14">
        <f>DB112</f>
        <v/>
      </c>
      <c r="CC113" s="14">
        <f>DC112</f>
        <v/>
      </c>
      <c r="CD113" s="14">
        <f>IF(B113&gt;=tax_tables!$B$46,MAX(0,CB113)*INDEX(tax_tables!$N$5:$N$54,MATCH(MIN(B113-1,120),tax_tables!$M$5:$M$54,0)),0)</f>
        <v/>
      </c>
      <c r="CE113" s="14">
        <f>IF(C113&gt;=tax_tables!$B$46,MAX(0,CC113)*INDEX(tax_tables!$N$5:$N$54,MATCH(MIN(C113-1,120),tax_tables!$M$5:$M$54,0)),0)</f>
        <v/>
      </c>
      <c r="CF113" s="14">
        <f>DD112</f>
        <v/>
      </c>
      <c r="CG113" s="14">
        <f>IF(OR($B$52="",$B$53=""),0,IF(AND(A113&gt;=$B$52,A113&lt;=$B$53),$B$51*O113,0))</f>
        <v/>
      </c>
      <c r="CH113" s="14">
        <f>MAX(0,CB113*(1+M113)-CD113)</f>
        <v/>
      </c>
      <c r="CI113" s="14">
        <f>MAX(0,CC113*(1+M113)-CE113)</f>
        <v/>
      </c>
      <c r="CJ113" s="14">
        <f>MIN(CG113,CH113+CI113)</f>
        <v/>
      </c>
      <c r="CK113" s="14">
        <f>IF(CH113+CI113&gt;1,CJ113*CH113/(CH113+CI113),0)</f>
        <v/>
      </c>
      <c r="CL113" s="14">
        <f>CJ113-CK113</f>
        <v/>
      </c>
      <c r="CM113" s="14">
        <f>CM112-CW112+CU112+tax_tables!$B$32*P113*2</f>
        <v/>
      </c>
      <c r="CN113" s="14">
        <f>EC112-AI112</f>
        <v/>
      </c>
      <c r="CO113" s="14">
        <f>AJ113+F113+BW113+BX113+BK113+CA113+CD113+CE113+BN113+AK113+AL113+CJ113</f>
        <v/>
      </c>
      <c r="CP113" s="14">
        <f>D113+CN113-CO113</f>
        <v/>
      </c>
      <c r="CQ113" s="14">
        <f>MAX(0,MIN(CP113,BY113*(1+M113-$B$19)))</f>
        <v/>
      </c>
      <c r="CR113" s="14">
        <f>MAX(0,MIN(CP113-CQ113,(CH113-CK113)+(CI113-CL113)))</f>
        <v/>
      </c>
      <c r="CS113" s="14">
        <f>IF((CH113-CK113)+(CI113-CL113)&gt;1,CR113*(CH113-CK113)/((CH113-CK113)+(CI113-CL113)),0)</f>
        <v/>
      </c>
      <c r="CT113" s="14">
        <f>CR113-CS113</f>
        <v/>
      </c>
      <c r="CU113" s="14">
        <f>MAX(0,MIN(CP113-CQ113-CR113,CF113*(1+M113)))</f>
        <v/>
      </c>
      <c r="CV113" s="14">
        <f>MAX(0,-CP113)</f>
        <v/>
      </c>
      <c r="CW113" s="14">
        <f>MIN(CV113,MAX(0,CM113))</f>
        <v/>
      </c>
      <c r="CX113" s="22">
        <f>IF(BY113&gt;0,MAX(0,1-BZ113/BY113),0)</f>
        <v/>
      </c>
      <c r="CY113" s="14">
        <f>CQ113*CX113</f>
        <v/>
      </c>
      <c r="CZ113" s="14">
        <f>BY113*(1+M113-$B$19)-CQ113+(CV113-CW113)</f>
        <v/>
      </c>
      <c r="DA113" s="14">
        <f>BZ113-(CQ113-CY113)+(CV113-CW113)</f>
        <v/>
      </c>
      <c r="DB113" s="14">
        <f>CB113*(1+M113)-CD113-CS113-CK113+Z113+AB113</f>
        <v/>
      </c>
      <c r="DC113" s="14">
        <f>CC113*(1+M113)-CE113-CT113-CL113+AA113+AC113</f>
        <v/>
      </c>
      <c r="DD113" s="14">
        <f>CF113*(1+M113)-CU113+CW113</f>
        <v/>
      </c>
      <c r="DE113" s="14">
        <f>CD113+CK113+CS113</f>
        <v/>
      </c>
      <c r="DF113" s="14">
        <f>CA113*household!$B$15*$B$20*(1+tax_tables!$B$17)</f>
        <v/>
      </c>
      <c r="DG113" s="14">
        <f>X113+BS113+BU113+BW113+DE113+DF113+CA113*household!$B$15*(1-$B$20)+(CY113+BO113)*household!$B$15*tax_tables!$B$18+(BP113+BM113+AK113)*household!$B$15-Z113</f>
        <v/>
      </c>
      <c r="DH113" s="14">
        <f>CE113+CL113+CT113</f>
        <v/>
      </c>
      <c r="DI113" s="14">
        <f>CA113*(1-household!$B$15)*$B$20*(1+tax_tables!$B$17)</f>
        <v/>
      </c>
      <c r="DJ113" s="14">
        <f>Y113+BT113+BV113+BX113+DH113+DI113+CA113*(1-household!$B$15)*(1-$B$20)+(CY113+BO113)*(1-household!$B$15)*tax_tables!$B$18+(BP113+BM113+AK113)*(1-household!$B$15)-AA113</f>
        <v/>
      </c>
      <c r="DK113" s="14">
        <f>IF((DG113&gt;=DJ113),MIN(0.5*(BW113+IF(B113&gt;=65,DE113,0)),MAX(0,(DG113-DJ113)/2)),MIN(0.5*(BX113+IF(C113&gt;=65,DH113,0)),MAX(0,(DJ113-DG113)/2)))</f>
        <v/>
      </c>
      <c r="DL113" s="14">
        <f>DG113+IF((DG113&gt;=DJ113),-DK113,DK113)</f>
        <v/>
      </c>
      <c r="DM113" s="14">
        <f>BW113+IF(B113&gt;=65,DE113,0)+IF((DG113&gt;=DJ113),-DK113,DK113)</f>
        <v/>
      </c>
      <c r="DN113" s="14">
        <f>MIN(BU113,tax_tables!$B$22*MAX(0,DL113-tax_tables!$B$21*P113))</f>
        <v/>
      </c>
      <c r="DO113" s="14">
        <f>MAX(0,DL113-DN113)</f>
        <v/>
      </c>
      <c r="DP113" s="14">
        <f>DJ113+IF((DG113&gt;=DJ113),DK113,-DK113)</f>
        <v/>
      </c>
      <c r="DQ113" s="14">
        <f>BX113+IF(C113&gt;=65,DH113,0)+IF((DG113&gt;=DJ113),DK113,-DK113)</f>
        <v/>
      </c>
      <c r="DR113" s="14">
        <f>MIN(BV113,tax_tables!$B$22*MAX(0,DP113-tax_tables!$B$21*P113))</f>
        <v/>
      </c>
      <c r="DS113" s="14">
        <f>MAX(0,DP113-DR113)</f>
        <v/>
      </c>
      <c r="DT113" s="14">
        <f>BJ113-BD113</f>
        <v/>
      </c>
      <c r="DU113" s="14">
        <f>(tax_tables!$B$6-(tax_tables!$B$6-tax_tables!$B$7)*MIN(1,MAX(0,(DL113-tax_tables!$B$8*P113)/((tax_tables!$B$9-tax_tables!$B$8)*P113))))*P113+(B113&gt;=65)*MAX(0,tax_tables!$B$10*P113-tax_tables!$B$12*MAX(0,DL113-tax_tables!$B$11*P113))+MIN(tax_tables!$B$13,DM113)+MIN(tax_tables!$B$14*P113,X113)+AF113+(DL113&lt;=DP113)*MAX(0,DT113-MIN(0.03*DL113,tax_tables!$B$15*P113))</f>
        <v/>
      </c>
      <c r="DV113" s="14">
        <f>MAX(0,SUMPRODUCT((DO113&gt;tax_tables!$E$5:$E$16*P113)*(DO113-tax_tables!$E$5:$E$16*P113)*tax_tables!$G$5:$G$16)-tax_tables!$B$5*DU113-tax_tables!$B$16*DF113)</f>
        <v/>
      </c>
      <c r="DW113" s="14">
        <f>tax_tables!$B$35*Q113+(B113&gt;=65)*MAX(0,tax_tables!$B$36*Q113-tax_tables!$B$12*MAX(0,DL113-tax_tables!$B$37*Q113))+MIN(tax_tables!$B$38,DM113)+AF113+(DL113&lt;=DP113)*MAX(0,DT113-MIN(0.03*DL113,tax_tables!$B$39*Q113))</f>
        <v/>
      </c>
      <c r="DX113" s="14">
        <f>MAX(0,SUMPRODUCT((DO113&gt;tax_tables!$I$5:$I$16*Q113)*(DO113-tax_tables!$I$5:$I$16*Q113)*tax_tables!$K$5:$K$16)-tax_tables!$B$34*DW113-tax_tables!$B$40*DF113-MAX(0,tax_tables!$B$41*Q113-tax_tables!$B$43*MAX(0,DL113-tax_tables!$B$42*Q113)))</f>
        <v/>
      </c>
      <c r="DY113" s="14">
        <f>(tax_tables!$B$6-(tax_tables!$B$6-tax_tables!$B$7)*MIN(1,MAX(0,(DP113-tax_tables!$B$8*P113)/((tax_tables!$B$9-tax_tables!$B$8)*P113))))*P113+(C113&gt;=65)*MAX(0,tax_tables!$B$10*P113-tax_tables!$B$12*MAX(0,DP113-tax_tables!$B$11*P113))+MIN(tax_tables!$B$13,DQ113)+MIN(tax_tables!$B$14*P113,Y113)+AG113+(DL113&gt;DP113)*MAX(0,DT113-MIN(0.03*DP113,tax_tables!$B$15*P113))</f>
        <v/>
      </c>
      <c r="DZ113" s="14">
        <f>MAX(0,SUMPRODUCT((DS113&gt;tax_tables!$E$5:$E$16*P113)*(DS113-tax_tables!$E$5:$E$16*P113)*tax_tables!$G$5:$G$16)-tax_tables!$B$5*DY113-tax_tables!$B$16*DI113)</f>
        <v/>
      </c>
      <c r="EA113" s="14">
        <f>tax_tables!$B$35*Q113+(C113&gt;=65)*MAX(0,tax_tables!$B$36*Q113-tax_tables!$B$12*MAX(0,DP113-tax_tables!$B$37*Q113))+MIN(tax_tables!$B$38,DQ113)+AG113+(DL113&gt;DP113)*MAX(0,DT113-MIN(0.03*DP113,tax_tables!$B$39*Q113))</f>
        <v/>
      </c>
      <c r="EB113" s="14">
        <f>MAX(0,SUMPRODUCT((DS113&gt;tax_tables!$I$5:$I$16*Q113)*(DS113-tax_tables!$I$5:$I$16*Q113)*tax_tables!$K$5:$K$16)-tax_tables!$B$34*EA113-tax_tables!$B$40*DI113-MAX(0,tax_tables!$B$41*Q113-tax_tables!$B$43*MAX(0,DP113-tax_tables!$B$42*Q113)))</f>
        <v/>
      </c>
      <c r="EC113" s="14">
        <f>DV113+DZ113+DX113+EB113+DN113+DR113</f>
        <v/>
      </c>
      <c r="ED113" s="14">
        <f>CZ113+DB113+DC113+DD113</f>
        <v/>
      </c>
      <c r="EE113" s="14">
        <f>ED113+BQ113-AR113+BR113</f>
        <v/>
      </c>
    </row>
    <row r="114">
      <c r="A114" s="21">
        <f>A113+1</f>
        <v/>
      </c>
      <c r="B114" s="21">
        <f>A114-household!$B$6</f>
        <v/>
      </c>
      <c r="C114" s="21">
        <f>A114-household!$B$9</f>
        <v/>
      </c>
      <c r="D114" s="14">
        <f>AU114+AV114+AW114+AX114+BB114+BJ114+AM114</f>
        <v/>
      </c>
      <c r="E114" s="14">
        <f>CN114+AI114+AH114</f>
        <v/>
      </c>
      <c r="F114" s="14">
        <f>BS114+BT114+BU114+BV114</f>
        <v/>
      </c>
      <c r="G114" s="14">
        <f>CQ114+CR114+CU114+CD114+CE114+CA114-CV114+CJ114+CW114</f>
        <v/>
      </c>
      <c r="H114" s="22">
        <f>IF(BY114+CB114+CC114+CF114&lt;=0,"",G114/(BY114+CB114+CC114+CF114))</f>
        <v/>
      </c>
      <c r="I114" s="23">
        <f>ED114/O114</f>
        <v/>
      </c>
      <c r="J114" s="23">
        <f>EE114/O114</f>
        <v/>
      </c>
      <c r="K114" s="14">
        <f>MAX(0,CP114-CQ114-CR114-CU114)</f>
        <v/>
      </c>
      <c r="L114" s="10" t="n"/>
      <c r="M114" s="22">
        <f>IF(L114="",$B$18,L114)</f>
        <v/>
      </c>
      <c r="N114" s="13" t="n"/>
      <c r="O114" s="12">
        <f>(1+$B$17)^(A114-household!$B$4+1)</f>
        <v/>
      </c>
      <c r="P114" s="12">
        <f>(1+$B$17)^(A114-tax_tables!$B$4)</f>
        <v/>
      </c>
      <c r="Q114" s="12">
        <f>(1+$B$17)^(A114-tax_tables!$B$4-MAX(0,MIN(A114,tax_tables!$B$45)-tax_tables!$B$44+1))</f>
        <v/>
      </c>
      <c r="R114" s="12">
        <f>(1+$B$21)^(A114-household!$B$4+1)</f>
        <v/>
      </c>
      <c r="S114" s="12">
        <f>(1+$B$22)^(A114-household!$B$4+1)</f>
        <v/>
      </c>
      <c r="T114" s="12">
        <f>(1+$B$23)^(A114-household!$B$4+1)</f>
        <v/>
      </c>
      <c r="U114" s="21">
        <f>IF(A114&lt;$B$5,1,0)</f>
        <v/>
      </c>
      <c r="V114" s="21">
        <f>IF(A114&lt;$B$6,1,0)</f>
        <v/>
      </c>
      <c r="W114" s="21">
        <f>IF(U114+V114&gt;0,1,0)</f>
        <v/>
      </c>
      <c r="X114" s="14">
        <f>U114*$B$7*O114+SUMPRODUCT(($B$72:$B$77=A114)*($D$72:$D$77="Wages: person 1")*$C$72:$C$77)*O114</f>
        <v/>
      </c>
      <c r="Y114" s="14">
        <f>V114*$B$8*O114+SUMPRODUCT(($B$72:$B$77=A114)*($D$72:$D$77="Wages: person 2")*$C$72:$C$77)*O114</f>
        <v/>
      </c>
      <c r="Z114" s="14">
        <f>U114*$B$9*O114</f>
        <v/>
      </c>
      <c r="AA114" s="14">
        <f>V114*$B$10*O114</f>
        <v/>
      </c>
      <c r="AB114" s="14">
        <f>U114*$B$11*O114</f>
        <v/>
      </c>
      <c r="AC114" s="14">
        <f>V114*$B$12*O114</f>
        <v/>
      </c>
      <c r="AD114" s="14">
        <f>X114+Y114</f>
        <v/>
      </c>
      <c r="AE114" s="14">
        <f>AD114-Z114-AA114</f>
        <v/>
      </c>
      <c r="AF114" s="14">
        <f>tax_tables!$B$25*MAX(0,MIN(X114,tax_tables!$B$27*P114)-tax_tables!$B$26)+tax_tables!$B$28*MAX(0,MIN(X114,tax_tables!$B$29*P114)-tax_tables!$B$27*P114)+tax_tables!$B$30*MIN(X114,tax_tables!$B$31*P114)</f>
        <v/>
      </c>
      <c r="AG114" s="14">
        <f>tax_tables!$B$25*MAX(0,MIN(Y114,tax_tables!$B$27*P114)-tax_tables!$B$26)+tax_tables!$B$28*MAX(0,MIN(Y114,tax_tables!$B$29*P114)-tax_tables!$B$27*P114)+tax_tables!$B$30*MIN(Y114,tax_tables!$B$31*P114)</f>
        <v/>
      </c>
      <c r="AH114" s="14">
        <f>AF114+AG114</f>
        <v/>
      </c>
      <c r="AI114" s="14">
        <f>$B$13*AE114</f>
        <v/>
      </c>
      <c r="AJ114" s="14">
        <f>AD114-Z114-AA114-AH114-AI114</f>
        <v/>
      </c>
      <c r="AK114" s="14">
        <f>SUMPRODUCT(($B$72:$B$77=A114)*($D$72:$D$77="Other taxable income")*$C$72:$C$77)*O114</f>
        <v/>
      </c>
      <c r="AL114" s="14">
        <f>SUMPRODUCT(($B$72:$B$77=A114)*($D$72:$D$77="Tax-free money in")*$C$72:$C$77)*O114</f>
        <v/>
      </c>
      <c r="AM114" s="14">
        <f>SUMPRODUCT(($B$72:$B$77=A114)*($D$72:$D$77="Expense")*$C$72:$C$77)*O114</f>
        <v/>
      </c>
      <c r="AN114" s="21">
        <f>IF(OR($B$64="",A114&lt;$B$64),1,0)</f>
        <v/>
      </c>
      <c r="AO114" s="14">
        <f>AR113</f>
        <v/>
      </c>
      <c r="AP114" s="14">
        <f>AN114*AO114*properties!$J$2</f>
        <v/>
      </c>
      <c r="AQ114" s="14">
        <f>AN114*MIN(properties!$K$2,AO114+AP114)</f>
        <v/>
      </c>
      <c r="AR114" s="14">
        <f>AN114*(AO114+AP114-AQ114)</f>
        <v/>
      </c>
      <c r="AS114" s="14">
        <f>AN114*properties!$G$2*O114</f>
        <v/>
      </c>
      <c r="AT114" s="14">
        <f>(1-AN114)*$E$64*O114</f>
        <v/>
      </c>
      <c r="AU114" s="14">
        <f>AQ114+AS114+AT114</f>
        <v/>
      </c>
      <c r="AV114" s="14">
        <f>SUMIF(budget!$A$2:$A$300,"household",budget!$F$2:$F$300)*O114*IF(N114="",1,N114)</f>
        <v/>
      </c>
      <c r="AW114" s="14">
        <f>SUMPRODUCT((other_budget!$C$2:$C$30&lt;=A114)*(other_budget!$D$2:$D$30&gt;=A114)*other_budget!$B$2:$B$30)*O114</f>
        <v/>
      </c>
      <c r="AX114" s="14">
        <f>SUMPRODUCT((kids_budget!$D$2:$D$40&lt;=A114)*(kids_budget!$E$2:$E$40&gt;=A114)*(kids_budget!$G$2:$G$40&lt;&gt;"college_funds")*kids_budget!$C$2:$C$40*((kids_budget!$F$2:$F$40="college")*S114+(kids_budget!$F$2:$F$40&lt;&gt;"college")*O114))</f>
        <v/>
      </c>
      <c r="AY114" s="14">
        <f>SUMPRODUCT((kids_budget!$D$2:$D$40&lt;=A114)*(kids_budget!$E$2:$E$40&gt;=A114)*(kids_budget!$G$2:$G$40="college_funds")*kids_budget!$C$2:$C$40*((kids_budget!$F$2:$F$40="college")*S114+(kids_budget!$F$2:$F$40&lt;&gt;"college")*O114))</f>
        <v/>
      </c>
      <c r="AZ114" s="14">
        <f>BC113</f>
        <v/>
      </c>
      <c r="BA114" s="14">
        <f>MIN(AY114,AZ114*(1+M114))</f>
        <v/>
      </c>
      <c r="BB114" s="14">
        <f>AY114-BA114</f>
        <v/>
      </c>
      <c r="BC114" s="14">
        <f>AZ114*(1+M114)-BA114</f>
        <v/>
      </c>
      <c r="BD114" s="14">
        <f>W114*healthcare!$B$2*R114</f>
        <v/>
      </c>
      <c r="BE114" s="21">
        <f>(1-W114)*2</f>
        <v/>
      </c>
      <c r="BF114" s="14">
        <f>BE114*healthcare!$B$3*12*R114</f>
        <v/>
      </c>
      <c r="BG114" s="14">
        <f>BE114*healthcare!$B$4*R114</f>
        <v/>
      </c>
      <c r="BH114" s="21">
        <f>AND(B114&gt;=$B$44,B114&lt;$B$44+$B$45)*1+AND(C114&gt;=$B$46,C114&lt;$B$46+$B$47)*1</f>
        <v/>
      </c>
      <c r="BI114" s="14">
        <f>BH114*$B$48*T114</f>
        <v/>
      </c>
      <c r="BJ114" s="14">
        <f>BD114+BF114+BG114+BI114</f>
        <v/>
      </c>
      <c r="BK114" s="14">
        <f>SUMPRODUCT((1-($B$65:$B$68&gt;0)*(A114&gt;=$B$65:$B$68))*(1-(($C$65:$C$68&gt;0)*(A114&gt;=$C$65:$C$68)))*(properties!$L$3:$L$6-properties!$M$3:$M$6))*O114+SUMPRODUCT((1-($B$65:$B$68&gt;0)*(A114&gt;=$B$65:$B$68))*(($C$65:$C$68&gt;0)*(A114&gt;=$C$65:$C$68))*($D$65:$D$68-$E$65:$E$68))*O114</f>
        <v/>
      </c>
      <c r="BL114" s="14">
        <f>SUMPRODUCT((1-($B$65:$B$68&gt;0)*(A114&gt;=$B$65:$B$68))*properties!$N$3:$N$6*(A114&lt;=properties!$O$3:$O$6))</f>
        <v/>
      </c>
      <c r="BM114" s="14">
        <f>MAX(0,BK114-BL114)</f>
        <v/>
      </c>
      <c r="BN114" s="14">
        <f>SUMPRODUCT(($B$64:$B$68=A114)*$G$64:$G$68)</f>
        <v/>
      </c>
      <c r="BO114" s="14">
        <f>SUMPRODUCT(($B$64:$B$68=A114)*$H$64:$H$68)</f>
        <v/>
      </c>
      <c r="BP114" s="14">
        <f>SUMPRODUCT(($B$64:$B$68=A114)*$I$64:$I$68)</f>
        <v/>
      </c>
      <c r="BQ114" s="14">
        <f>AN114*properties!$C$2*(1+properties!$D$2)^(A114-household!$B$4+1)</f>
        <v/>
      </c>
      <c r="BR114" s="14">
        <f>SUMPRODUCT((1-($B$65:$B$68&gt;0)*(A114&gt;=$B$65:$B$68))*properties!$C$3:$C$6*(1+properties!$D$3:$D$6)^(A114-household!$B$4+1))</f>
        <v/>
      </c>
      <c r="BS114" s="14">
        <f>IF(A114&gt;=household!$B$6+$B$26,household!$B$11*12*$B$30*O114,0)</f>
        <v/>
      </c>
      <c r="BT114" s="14">
        <f>IF(A114&gt;=household!$B$9+$B$27,household!$B$12*12*$B$31*O114,0)</f>
        <v/>
      </c>
      <c r="BU114" s="14">
        <f>IF(A114&gt;=household!$B$6+$B$28,tax_tables!$B$19*12*P114*MIN(1,household!$B$13/40)*$B$32*(1+tax_tables!$B$20*(B114&gt;=75)),0)</f>
        <v/>
      </c>
      <c r="BV114" s="14">
        <f>IF(A114&gt;=household!$B$9+$B$29,tax_tables!$B$19*12*P114*MIN(1,household!$B$14/40)*$B$33*(1+tax_tables!$B$20*(C114&gt;=75)),0)</f>
        <v/>
      </c>
      <c r="BW114" s="14">
        <f>IF(AND($B$36&lt;&gt;0,A114&gt;=household!$B$6+$B$37),$B$36*(1+$B$17)^(MAX(household!$B$6+$B$37,household!$B$4-1)-household!$B$4+1)*(1+$B$40*$B$17)^(A114-MAX(household!$B$6+$B$37,household!$B$4-1)),0)</f>
        <v/>
      </c>
      <c r="BX114" s="14">
        <f>IF(AND($B$38&lt;&gt;0,A114&gt;=household!$B$9+$B$39),$B$38*(1+$B$17)^(MAX(household!$B$9+$B$39,household!$B$4-1)-household!$B$4+1)*(1+$B$40*$B$17)^(A114-MAX(household!$B$9+$B$39,household!$B$4-1)),0)</f>
        <v/>
      </c>
      <c r="BY114" s="14">
        <f>CZ113</f>
        <v/>
      </c>
      <c r="BZ114" s="14">
        <f>DA113</f>
        <v/>
      </c>
      <c r="CA114" s="14">
        <f>$B$19*BY114</f>
        <v/>
      </c>
      <c r="CB114" s="14">
        <f>DB113</f>
        <v/>
      </c>
      <c r="CC114" s="14">
        <f>DC113</f>
        <v/>
      </c>
      <c r="CD114" s="14">
        <f>IF(B114&gt;=tax_tables!$B$46,MAX(0,CB114)*INDEX(tax_tables!$N$5:$N$54,MATCH(MIN(B114-1,120),tax_tables!$M$5:$M$54,0)),0)</f>
        <v/>
      </c>
      <c r="CE114" s="14">
        <f>IF(C114&gt;=tax_tables!$B$46,MAX(0,CC114)*INDEX(tax_tables!$N$5:$N$54,MATCH(MIN(C114-1,120),tax_tables!$M$5:$M$54,0)),0)</f>
        <v/>
      </c>
      <c r="CF114" s="14">
        <f>DD113</f>
        <v/>
      </c>
      <c r="CG114" s="14">
        <f>IF(OR($B$52="",$B$53=""),0,IF(AND(A114&gt;=$B$52,A114&lt;=$B$53),$B$51*O114,0))</f>
        <v/>
      </c>
      <c r="CH114" s="14">
        <f>MAX(0,CB114*(1+M114)-CD114)</f>
        <v/>
      </c>
      <c r="CI114" s="14">
        <f>MAX(0,CC114*(1+M114)-CE114)</f>
        <v/>
      </c>
      <c r="CJ114" s="14">
        <f>MIN(CG114,CH114+CI114)</f>
        <v/>
      </c>
      <c r="CK114" s="14">
        <f>IF(CH114+CI114&gt;1,CJ114*CH114/(CH114+CI114),0)</f>
        <v/>
      </c>
      <c r="CL114" s="14">
        <f>CJ114-CK114</f>
        <v/>
      </c>
      <c r="CM114" s="14">
        <f>CM113-CW113+CU113+tax_tables!$B$32*P114*2</f>
        <v/>
      </c>
      <c r="CN114" s="14">
        <f>EC113-AI113</f>
        <v/>
      </c>
      <c r="CO114" s="14">
        <f>AJ114+F114+BW114+BX114+BK114+CA114+CD114+CE114+BN114+AK114+AL114+CJ114</f>
        <v/>
      </c>
      <c r="CP114" s="14">
        <f>D114+CN114-CO114</f>
        <v/>
      </c>
      <c r="CQ114" s="14">
        <f>MAX(0,MIN(CP114,BY114*(1+M114-$B$19)))</f>
        <v/>
      </c>
      <c r="CR114" s="14">
        <f>MAX(0,MIN(CP114-CQ114,(CH114-CK114)+(CI114-CL114)))</f>
        <v/>
      </c>
      <c r="CS114" s="14">
        <f>IF((CH114-CK114)+(CI114-CL114)&gt;1,CR114*(CH114-CK114)/((CH114-CK114)+(CI114-CL114)),0)</f>
        <v/>
      </c>
      <c r="CT114" s="14">
        <f>CR114-CS114</f>
        <v/>
      </c>
      <c r="CU114" s="14">
        <f>MAX(0,MIN(CP114-CQ114-CR114,CF114*(1+M114)))</f>
        <v/>
      </c>
      <c r="CV114" s="14">
        <f>MAX(0,-CP114)</f>
        <v/>
      </c>
      <c r="CW114" s="14">
        <f>MIN(CV114,MAX(0,CM114))</f>
        <v/>
      </c>
      <c r="CX114" s="22">
        <f>IF(BY114&gt;0,MAX(0,1-BZ114/BY114),0)</f>
        <v/>
      </c>
      <c r="CY114" s="14">
        <f>CQ114*CX114</f>
        <v/>
      </c>
      <c r="CZ114" s="14">
        <f>BY114*(1+M114-$B$19)-CQ114+(CV114-CW114)</f>
        <v/>
      </c>
      <c r="DA114" s="14">
        <f>BZ114-(CQ114-CY114)+(CV114-CW114)</f>
        <v/>
      </c>
      <c r="DB114" s="14">
        <f>CB114*(1+M114)-CD114-CS114-CK114+Z114+AB114</f>
        <v/>
      </c>
      <c r="DC114" s="14">
        <f>CC114*(1+M114)-CE114-CT114-CL114+AA114+AC114</f>
        <v/>
      </c>
      <c r="DD114" s="14">
        <f>CF114*(1+M114)-CU114+CW114</f>
        <v/>
      </c>
      <c r="DE114" s="14">
        <f>CD114+CK114+CS114</f>
        <v/>
      </c>
      <c r="DF114" s="14">
        <f>CA114*household!$B$15*$B$20*(1+tax_tables!$B$17)</f>
        <v/>
      </c>
      <c r="DG114" s="14">
        <f>X114+BS114+BU114+BW114+DE114+DF114+CA114*household!$B$15*(1-$B$20)+(CY114+BO114)*household!$B$15*tax_tables!$B$18+(BP114+BM114+AK114)*household!$B$15-Z114</f>
        <v/>
      </c>
      <c r="DH114" s="14">
        <f>CE114+CL114+CT114</f>
        <v/>
      </c>
      <c r="DI114" s="14">
        <f>CA114*(1-household!$B$15)*$B$20*(1+tax_tables!$B$17)</f>
        <v/>
      </c>
      <c r="DJ114" s="14">
        <f>Y114+BT114+BV114+BX114+DH114+DI114+CA114*(1-household!$B$15)*(1-$B$20)+(CY114+BO114)*(1-household!$B$15)*tax_tables!$B$18+(BP114+BM114+AK114)*(1-household!$B$15)-AA114</f>
        <v/>
      </c>
      <c r="DK114" s="14">
        <f>IF((DG114&gt;=DJ114),MIN(0.5*(BW114+IF(B114&gt;=65,DE114,0)),MAX(0,(DG114-DJ114)/2)),MIN(0.5*(BX114+IF(C114&gt;=65,DH114,0)),MAX(0,(DJ114-DG114)/2)))</f>
        <v/>
      </c>
      <c r="DL114" s="14">
        <f>DG114+IF((DG114&gt;=DJ114),-DK114,DK114)</f>
        <v/>
      </c>
      <c r="DM114" s="14">
        <f>BW114+IF(B114&gt;=65,DE114,0)+IF((DG114&gt;=DJ114),-DK114,DK114)</f>
        <v/>
      </c>
      <c r="DN114" s="14">
        <f>MIN(BU114,tax_tables!$B$22*MAX(0,DL114-tax_tables!$B$21*P114))</f>
        <v/>
      </c>
      <c r="DO114" s="14">
        <f>MAX(0,DL114-DN114)</f>
        <v/>
      </c>
      <c r="DP114" s="14">
        <f>DJ114+IF((DG114&gt;=DJ114),DK114,-DK114)</f>
        <v/>
      </c>
      <c r="DQ114" s="14">
        <f>BX114+IF(C114&gt;=65,DH114,0)+IF((DG114&gt;=DJ114),DK114,-DK114)</f>
        <v/>
      </c>
      <c r="DR114" s="14">
        <f>MIN(BV114,tax_tables!$B$22*MAX(0,DP114-tax_tables!$B$21*P114))</f>
        <v/>
      </c>
      <c r="DS114" s="14">
        <f>MAX(0,DP114-DR114)</f>
        <v/>
      </c>
      <c r="DT114" s="14">
        <f>BJ114-BD114</f>
        <v/>
      </c>
      <c r="DU114" s="14">
        <f>(tax_tables!$B$6-(tax_tables!$B$6-tax_tables!$B$7)*MIN(1,MAX(0,(DL114-tax_tables!$B$8*P114)/((tax_tables!$B$9-tax_tables!$B$8)*P114))))*P114+(B114&gt;=65)*MAX(0,tax_tables!$B$10*P114-tax_tables!$B$12*MAX(0,DL114-tax_tables!$B$11*P114))+MIN(tax_tables!$B$13,DM114)+MIN(tax_tables!$B$14*P114,X114)+AF114+(DL114&lt;=DP114)*MAX(0,DT114-MIN(0.03*DL114,tax_tables!$B$15*P114))</f>
        <v/>
      </c>
      <c r="DV114" s="14">
        <f>MAX(0,SUMPRODUCT((DO114&gt;tax_tables!$E$5:$E$16*P114)*(DO114-tax_tables!$E$5:$E$16*P114)*tax_tables!$G$5:$G$16)-tax_tables!$B$5*DU114-tax_tables!$B$16*DF114)</f>
        <v/>
      </c>
      <c r="DW114" s="14">
        <f>tax_tables!$B$35*Q114+(B114&gt;=65)*MAX(0,tax_tables!$B$36*Q114-tax_tables!$B$12*MAX(0,DL114-tax_tables!$B$37*Q114))+MIN(tax_tables!$B$38,DM114)+AF114+(DL114&lt;=DP114)*MAX(0,DT114-MIN(0.03*DL114,tax_tables!$B$39*Q114))</f>
        <v/>
      </c>
      <c r="DX114" s="14">
        <f>MAX(0,SUMPRODUCT((DO114&gt;tax_tables!$I$5:$I$16*Q114)*(DO114-tax_tables!$I$5:$I$16*Q114)*tax_tables!$K$5:$K$16)-tax_tables!$B$34*DW114-tax_tables!$B$40*DF114-MAX(0,tax_tables!$B$41*Q114-tax_tables!$B$43*MAX(0,DL114-tax_tables!$B$42*Q114)))</f>
        <v/>
      </c>
      <c r="DY114" s="14">
        <f>(tax_tables!$B$6-(tax_tables!$B$6-tax_tables!$B$7)*MIN(1,MAX(0,(DP114-tax_tables!$B$8*P114)/((tax_tables!$B$9-tax_tables!$B$8)*P114))))*P114+(C114&gt;=65)*MAX(0,tax_tables!$B$10*P114-tax_tables!$B$12*MAX(0,DP114-tax_tables!$B$11*P114))+MIN(tax_tables!$B$13,DQ114)+MIN(tax_tables!$B$14*P114,Y114)+AG114+(DL114&gt;DP114)*MAX(0,DT114-MIN(0.03*DP114,tax_tables!$B$15*P114))</f>
        <v/>
      </c>
      <c r="DZ114" s="14">
        <f>MAX(0,SUMPRODUCT((DS114&gt;tax_tables!$E$5:$E$16*P114)*(DS114-tax_tables!$E$5:$E$16*P114)*tax_tables!$G$5:$G$16)-tax_tables!$B$5*DY114-tax_tables!$B$16*DI114)</f>
        <v/>
      </c>
      <c r="EA114" s="14">
        <f>tax_tables!$B$35*Q114+(C114&gt;=65)*MAX(0,tax_tables!$B$36*Q114-tax_tables!$B$12*MAX(0,DP114-tax_tables!$B$37*Q114))+MIN(tax_tables!$B$38,DQ114)+AG114+(DL114&gt;DP114)*MAX(0,DT114-MIN(0.03*DP114,tax_tables!$B$39*Q114))</f>
        <v/>
      </c>
      <c r="EB114" s="14">
        <f>MAX(0,SUMPRODUCT((DS114&gt;tax_tables!$I$5:$I$16*Q114)*(DS114-tax_tables!$I$5:$I$16*Q114)*tax_tables!$K$5:$K$16)-tax_tables!$B$34*EA114-tax_tables!$B$40*DI114-MAX(0,tax_tables!$B$41*Q114-tax_tables!$B$43*MAX(0,DP114-tax_tables!$B$42*Q114)))</f>
        <v/>
      </c>
      <c r="EC114" s="14">
        <f>DV114+DZ114+DX114+EB114+DN114+DR114</f>
        <v/>
      </c>
      <c r="ED114" s="14">
        <f>CZ114+DB114+DC114+DD114</f>
        <v/>
      </c>
      <c r="EE114" s="14">
        <f>ED114+BQ114-AR114+BR114</f>
        <v/>
      </c>
    </row>
    <row r="115">
      <c r="A115" s="21">
        <f>A114+1</f>
        <v/>
      </c>
      <c r="B115" s="21">
        <f>A115-household!$B$6</f>
        <v/>
      </c>
      <c r="C115" s="21">
        <f>A115-household!$B$9</f>
        <v/>
      </c>
      <c r="D115" s="14">
        <f>AU115+AV115+AW115+AX115+BB115+BJ115+AM115</f>
        <v/>
      </c>
      <c r="E115" s="14">
        <f>CN115+AI115+AH115</f>
        <v/>
      </c>
      <c r="F115" s="14">
        <f>BS115+BT115+BU115+BV115</f>
        <v/>
      </c>
      <c r="G115" s="14">
        <f>CQ115+CR115+CU115+CD115+CE115+CA115-CV115+CJ115+CW115</f>
        <v/>
      </c>
      <c r="H115" s="22">
        <f>IF(BY115+CB115+CC115+CF115&lt;=0,"",G115/(BY115+CB115+CC115+CF115))</f>
        <v/>
      </c>
      <c r="I115" s="23">
        <f>ED115/O115</f>
        <v/>
      </c>
      <c r="J115" s="23">
        <f>EE115/O115</f>
        <v/>
      </c>
      <c r="K115" s="14">
        <f>MAX(0,CP115-CQ115-CR115-CU115)</f>
        <v/>
      </c>
      <c r="L115" s="10" t="n"/>
      <c r="M115" s="22">
        <f>IF(L115="",$B$18,L115)</f>
        <v/>
      </c>
      <c r="N115" s="13" t="n"/>
      <c r="O115" s="12">
        <f>(1+$B$17)^(A115-household!$B$4+1)</f>
        <v/>
      </c>
      <c r="P115" s="12">
        <f>(1+$B$17)^(A115-tax_tables!$B$4)</f>
        <v/>
      </c>
      <c r="Q115" s="12">
        <f>(1+$B$17)^(A115-tax_tables!$B$4-MAX(0,MIN(A115,tax_tables!$B$45)-tax_tables!$B$44+1))</f>
        <v/>
      </c>
      <c r="R115" s="12">
        <f>(1+$B$21)^(A115-household!$B$4+1)</f>
        <v/>
      </c>
      <c r="S115" s="12">
        <f>(1+$B$22)^(A115-household!$B$4+1)</f>
        <v/>
      </c>
      <c r="T115" s="12">
        <f>(1+$B$23)^(A115-household!$B$4+1)</f>
        <v/>
      </c>
      <c r="U115" s="21">
        <f>IF(A115&lt;$B$5,1,0)</f>
        <v/>
      </c>
      <c r="V115" s="21">
        <f>IF(A115&lt;$B$6,1,0)</f>
        <v/>
      </c>
      <c r="W115" s="21">
        <f>IF(U115+V115&gt;0,1,0)</f>
        <v/>
      </c>
      <c r="X115" s="14">
        <f>U115*$B$7*O115+SUMPRODUCT(($B$72:$B$77=A115)*($D$72:$D$77="Wages: person 1")*$C$72:$C$77)*O115</f>
        <v/>
      </c>
      <c r="Y115" s="14">
        <f>V115*$B$8*O115+SUMPRODUCT(($B$72:$B$77=A115)*($D$72:$D$77="Wages: person 2")*$C$72:$C$77)*O115</f>
        <v/>
      </c>
      <c r="Z115" s="14">
        <f>U115*$B$9*O115</f>
        <v/>
      </c>
      <c r="AA115" s="14">
        <f>V115*$B$10*O115</f>
        <v/>
      </c>
      <c r="AB115" s="14">
        <f>U115*$B$11*O115</f>
        <v/>
      </c>
      <c r="AC115" s="14">
        <f>V115*$B$12*O115</f>
        <v/>
      </c>
      <c r="AD115" s="14">
        <f>X115+Y115</f>
        <v/>
      </c>
      <c r="AE115" s="14">
        <f>AD115-Z115-AA115</f>
        <v/>
      </c>
      <c r="AF115" s="14">
        <f>tax_tables!$B$25*MAX(0,MIN(X115,tax_tables!$B$27*P115)-tax_tables!$B$26)+tax_tables!$B$28*MAX(0,MIN(X115,tax_tables!$B$29*P115)-tax_tables!$B$27*P115)+tax_tables!$B$30*MIN(X115,tax_tables!$B$31*P115)</f>
        <v/>
      </c>
      <c r="AG115" s="14">
        <f>tax_tables!$B$25*MAX(0,MIN(Y115,tax_tables!$B$27*P115)-tax_tables!$B$26)+tax_tables!$B$28*MAX(0,MIN(Y115,tax_tables!$B$29*P115)-tax_tables!$B$27*P115)+tax_tables!$B$30*MIN(Y115,tax_tables!$B$31*P115)</f>
        <v/>
      </c>
      <c r="AH115" s="14">
        <f>AF115+AG115</f>
        <v/>
      </c>
      <c r="AI115" s="14">
        <f>$B$13*AE115</f>
        <v/>
      </c>
      <c r="AJ115" s="14">
        <f>AD115-Z115-AA115-AH115-AI115</f>
        <v/>
      </c>
      <c r="AK115" s="14">
        <f>SUMPRODUCT(($B$72:$B$77=A115)*($D$72:$D$77="Other taxable income")*$C$72:$C$77)*O115</f>
        <v/>
      </c>
      <c r="AL115" s="14">
        <f>SUMPRODUCT(($B$72:$B$77=A115)*($D$72:$D$77="Tax-free money in")*$C$72:$C$77)*O115</f>
        <v/>
      </c>
      <c r="AM115" s="14">
        <f>SUMPRODUCT(($B$72:$B$77=A115)*($D$72:$D$77="Expense")*$C$72:$C$77)*O115</f>
        <v/>
      </c>
      <c r="AN115" s="21">
        <f>IF(OR($B$64="",A115&lt;$B$64),1,0)</f>
        <v/>
      </c>
      <c r="AO115" s="14">
        <f>AR114</f>
        <v/>
      </c>
      <c r="AP115" s="14">
        <f>AN115*AO115*properties!$J$2</f>
        <v/>
      </c>
      <c r="AQ115" s="14">
        <f>AN115*MIN(properties!$K$2,AO115+AP115)</f>
        <v/>
      </c>
      <c r="AR115" s="14">
        <f>AN115*(AO115+AP115-AQ115)</f>
        <v/>
      </c>
      <c r="AS115" s="14">
        <f>AN115*properties!$G$2*O115</f>
        <v/>
      </c>
      <c r="AT115" s="14">
        <f>(1-AN115)*$E$64*O115</f>
        <v/>
      </c>
      <c r="AU115" s="14">
        <f>AQ115+AS115+AT115</f>
        <v/>
      </c>
      <c r="AV115" s="14">
        <f>SUMIF(budget!$A$2:$A$300,"household",budget!$F$2:$F$300)*O115*IF(N115="",1,N115)</f>
        <v/>
      </c>
      <c r="AW115" s="14">
        <f>SUMPRODUCT((other_budget!$C$2:$C$30&lt;=A115)*(other_budget!$D$2:$D$30&gt;=A115)*other_budget!$B$2:$B$30)*O115</f>
        <v/>
      </c>
      <c r="AX115" s="14">
        <f>SUMPRODUCT((kids_budget!$D$2:$D$40&lt;=A115)*(kids_budget!$E$2:$E$40&gt;=A115)*(kids_budget!$G$2:$G$40&lt;&gt;"college_funds")*kids_budget!$C$2:$C$40*((kids_budget!$F$2:$F$40="college")*S115+(kids_budget!$F$2:$F$40&lt;&gt;"college")*O115))</f>
        <v/>
      </c>
      <c r="AY115" s="14">
        <f>SUMPRODUCT((kids_budget!$D$2:$D$40&lt;=A115)*(kids_budget!$E$2:$E$40&gt;=A115)*(kids_budget!$G$2:$G$40="college_funds")*kids_budget!$C$2:$C$40*((kids_budget!$F$2:$F$40="college")*S115+(kids_budget!$F$2:$F$40&lt;&gt;"college")*O115))</f>
        <v/>
      </c>
      <c r="AZ115" s="14">
        <f>BC114</f>
        <v/>
      </c>
      <c r="BA115" s="14">
        <f>MIN(AY115,AZ115*(1+M115))</f>
        <v/>
      </c>
      <c r="BB115" s="14">
        <f>AY115-BA115</f>
        <v/>
      </c>
      <c r="BC115" s="14">
        <f>AZ115*(1+M115)-BA115</f>
        <v/>
      </c>
      <c r="BD115" s="14">
        <f>W115*healthcare!$B$2*R115</f>
        <v/>
      </c>
      <c r="BE115" s="21">
        <f>(1-W115)*2</f>
        <v/>
      </c>
      <c r="BF115" s="14">
        <f>BE115*healthcare!$B$3*12*R115</f>
        <v/>
      </c>
      <c r="BG115" s="14">
        <f>BE115*healthcare!$B$4*R115</f>
        <v/>
      </c>
      <c r="BH115" s="21">
        <f>AND(B115&gt;=$B$44,B115&lt;$B$44+$B$45)*1+AND(C115&gt;=$B$46,C115&lt;$B$46+$B$47)*1</f>
        <v/>
      </c>
      <c r="BI115" s="14">
        <f>BH115*$B$48*T115</f>
        <v/>
      </c>
      <c r="BJ115" s="14">
        <f>BD115+BF115+BG115+BI115</f>
        <v/>
      </c>
      <c r="BK115" s="14">
        <f>SUMPRODUCT((1-($B$65:$B$68&gt;0)*(A115&gt;=$B$65:$B$68))*(1-(($C$65:$C$68&gt;0)*(A115&gt;=$C$65:$C$68)))*(properties!$L$3:$L$6-properties!$M$3:$M$6))*O115+SUMPRODUCT((1-($B$65:$B$68&gt;0)*(A115&gt;=$B$65:$B$68))*(($C$65:$C$68&gt;0)*(A115&gt;=$C$65:$C$68))*($D$65:$D$68-$E$65:$E$68))*O115</f>
        <v/>
      </c>
      <c r="BL115" s="14">
        <f>SUMPRODUCT((1-($B$65:$B$68&gt;0)*(A115&gt;=$B$65:$B$68))*properties!$N$3:$N$6*(A115&lt;=properties!$O$3:$O$6))</f>
        <v/>
      </c>
      <c r="BM115" s="14">
        <f>MAX(0,BK115-BL115)</f>
        <v/>
      </c>
      <c r="BN115" s="14">
        <f>SUMPRODUCT(($B$64:$B$68=A115)*$G$64:$G$68)</f>
        <v/>
      </c>
      <c r="BO115" s="14">
        <f>SUMPRODUCT(($B$64:$B$68=A115)*$H$64:$H$68)</f>
        <v/>
      </c>
      <c r="BP115" s="14">
        <f>SUMPRODUCT(($B$64:$B$68=A115)*$I$64:$I$68)</f>
        <v/>
      </c>
      <c r="BQ115" s="14">
        <f>AN115*properties!$C$2*(1+properties!$D$2)^(A115-household!$B$4+1)</f>
        <v/>
      </c>
      <c r="BR115" s="14">
        <f>SUMPRODUCT((1-($B$65:$B$68&gt;0)*(A115&gt;=$B$65:$B$68))*properties!$C$3:$C$6*(1+properties!$D$3:$D$6)^(A115-household!$B$4+1))</f>
        <v/>
      </c>
      <c r="BS115" s="14">
        <f>IF(A115&gt;=household!$B$6+$B$26,household!$B$11*12*$B$30*O115,0)</f>
        <v/>
      </c>
      <c r="BT115" s="14">
        <f>IF(A115&gt;=household!$B$9+$B$27,household!$B$12*12*$B$31*O115,0)</f>
        <v/>
      </c>
      <c r="BU115" s="14">
        <f>IF(A115&gt;=household!$B$6+$B$28,tax_tables!$B$19*12*P115*MIN(1,household!$B$13/40)*$B$32*(1+tax_tables!$B$20*(B115&gt;=75)),0)</f>
        <v/>
      </c>
      <c r="BV115" s="14">
        <f>IF(A115&gt;=household!$B$9+$B$29,tax_tables!$B$19*12*P115*MIN(1,household!$B$14/40)*$B$33*(1+tax_tables!$B$20*(C115&gt;=75)),0)</f>
        <v/>
      </c>
      <c r="BW115" s="14">
        <f>IF(AND($B$36&lt;&gt;0,A115&gt;=household!$B$6+$B$37),$B$36*(1+$B$17)^(MAX(household!$B$6+$B$37,household!$B$4-1)-household!$B$4+1)*(1+$B$40*$B$17)^(A115-MAX(household!$B$6+$B$37,household!$B$4-1)),0)</f>
        <v/>
      </c>
      <c r="BX115" s="14">
        <f>IF(AND($B$38&lt;&gt;0,A115&gt;=household!$B$9+$B$39),$B$38*(1+$B$17)^(MAX(household!$B$9+$B$39,household!$B$4-1)-household!$B$4+1)*(1+$B$40*$B$17)^(A115-MAX(household!$B$9+$B$39,household!$B$4-1)),0)</f>
        <v/>
      </c>
      <c r="BY115" s="14">
        <f>CZ114</f>
        <v/>
      </c>
      <c r="BZ115" s="14">
        <f>DA114</f>
        <v/>
      </c>
      <c r="CA115" s="14">
        <f>$B$19*BY115</f>
        <v/>
      </c>
      <c r="CB115" s="14">
        <f>DB114</f>
        <v/>
      </c>
      <c r="CC115" s="14">
        <f>DC114</f>
        <v/>
      </c>
      <c r="CD115" s="14">
        <f>IF(B115&gt;=tax_tables!$B$46,MAX(0,CB115)*INDEX(tax_tables!$N$5:$N$54,MATCH(MIN(B115-1,120),tax_tables!$M$5:$M$54,0)),0)</f>
        <v/>
      </c>
      <c r="CE115" s="14">
        <f>IF(C115&gt;=tax_tables!$B$46,MAX(0,CC115)*INDEX(tax_tables!$N$5:$N$54,MATCH(MIN(C115-1,120),tax_tables!$M$5:$M$54,0)),0)</f>
        <v/>
      </c>
      <c r="CF115" s="14">
        <f>DD114</f>
        <v/>
      </c>
      <c r="CG115" s="14">
        <f>IF(OR($B$52="",$B$53=""),0,IF(AND(A115&gt;=$B$52,A115&lt;=$B$53),$B$51*O115,0))</f>
        <v/>
      </c>
      <c r="CH115" s="14">
        <f>MAX(0,CB115*(1+M115)-CD115)</f>
        <v/>
      </c>
      <c r="CI115" s="14">
        <f>MAX(0,CC115*(1+M115)-CE115)</f>
        <v/>
      </c>
      <c r="CJ115" s="14">
        <f>MIN(CG115,CH115+CI115)</f>
        <v/>
      </c>
      <c r="CK115" s="14">
        <f>IF(CH115+CI115&gt;1,CJ115*CH115/(CH115+CI115),0)</f>
        <v/>
      </c>
      <c r="CL115" s="14">
        <f>CJ115-CK115</f>
        <v/>
      </c>
      <c r="CM115" s="14">
        <f>CM114-CW114+CU114+tax_tables!$B$32*P115*2</f>
        <v/>
      </c>
      <c r="CN115" s="14">
        <f>EC114-AI114</f>
        <v/>
      </c>
      <c r="CO115" s="14">
        <f>AJ115+F115+BW115+BX115+BK115+CA115+CD115+CE115+BN115+AK115+AL115+CJ115</f>
        <v/>
      </c>
      <c r="CP115" s="14">
        <f>D115+CN115-CO115</f>
        <v/>
      </c>
      <c r="CQ115" s="14">
        <f>MAX(0,MIN(CP115,BY115*(1+M115-$B$19)))</f>
        <v/>
      </c>
      <c r="CR115" s="14">
        <f>MAX(0,MIN(CP115-CQ115,(CH115-CK115)+(CI115-CL115)))</f>
        <v/>
      </c>
      <c r="CS115" s="14">
        <f>IF((CH115-CK115)+(CI115-CL115)&gt;1,CR115*(CH115-CK115)/((CH115-CK115)+(CI115-CL115)),0)</f>
        <v/>
      </c>
      <c r="CT115" s="14">
        <f>CR115-CS115</f>
        <v/>
      </c>
      <c r="CU115" s="14">
        <f>MAX(0,MIN(CP115-CQ115-CR115,CF115*(1+M115)))</f>
        <v/>
      </c>
      <c r="CV115" s="14">
        <f>MAX(0,-CP115)</f>
        <v/>
      </c>
      <c r="CW115" s="14">
        <f>MIN(CV115,MAX(0,CM115))</f>
        <v/>
      </c>
      <c r="CX115" s="22">
        <f>IF(BY115&gt;0,MAX(0,1-BZ115/BY115),0)</f>
        <v/>
      </c>
      <c r="CY115" s="14">
        <f>CQ115*CX115</f>
        <v/>
      </c>
      <c r="CZ115" s="14">
        <f>BY115*(1+M115-$B$19)-CQ115+(CV115-CW115)</f>
        <v/>
      </c>
      <c r="DA115" s="14">
        <f>BZ115-(CQ115-CY115)+(CV115-CW115)</f>
        <v/>
      </c>
      <c r="DB115" s="14">
        <f>CB115*(1+M115)-CD115-CS115-CK115+Z115+AB115</f>
        <v/>
      </c>
      <c r="DC115" s="14">
        <f>CC115*(1+M115)-CE115-CT115-CL115+AA115+AC115</f>
        <v/>
      </c>
      <c r="DD115" s="14">
        <f>CF115*(1+M115)-CU115+CW115</f>
        <v/>
      </c>
      <c r="DE115" s="14">
        <f>CD115+CK115+CS115</f>
        <v/>
      </c>
      <c r="DF115" s="14">
        <f>CA115*household!$B$15*$B$20*(1+tax_tables!$B$17)</f>
        <v/>
      </c>
      <c r="DG115" s="14">
        <f>X115+BS115+BU115+BW115+DE115+DF115+CA115*household!$B$15*(1-$B$20)+(CY115+BO115)*household!$B$15*tax_tables!$B$18+(BP115+BM115+AK115)*household!$B$15-Z115</f>
        <v/>
      </c>
      <c r="DH115" s="14">
        <f>CE115+CL115+CT115</f>
        <v/>
      </c>
      <c r="DI115" s="14">
        <f>CA115*(1-household!$B$15)*$B$20*(1+tax_tables!$B$17)</f>
        <v/>
      </c>
      <c r="DJ115" s="14">
        <f>Y115+BT115+BV115+BX115+DH115+DI115+CA115*(1-household!$B$15)*(1-$B$20)+(CY115+BO115)*(1-household!$B$15)*tax_tables!$B$18+(BP115+BM115+AK115)*(1-household!$B$15)-AA115</f>
        <v/>
      </c>
      <c r="DK115" s="14">
        <f>IF((DG115&gt;=DJ115),MIN(0.5*(BW115+IF(B115&gt;=65,DE115,0)),MAX(0,(DG115-DJ115)/2)),MIN(0.5*(BX115+IF(C115&gt;=65,DH115,0)),MAX(0,(DJ115-DG115)/2)))</f>
        <v/>
      </c>
      <c r="DL115" s="14">
        <f>DG115+IF((DG115&gt;=DJ115),-DK115,DK115)</f>
        <v/>
      </c>
      <c r="DM115" s="14">
        <f>BW115+IF(B115&gt;=65,DE115,0)+IF((DG115&gt;=DJ115),-DK115,DK115)</f>
        <v/>
      </c>
      <c r="DN115" s="14">
        <f>MIN(BU115,tax_tables!$B$22*MAX(0,DL115-tax_tables!$B$21*P115))</f>
        <v/>
      </c>
      <c r="DO115" s="14">
        <f>MAX(0,DL115-DN115)</f>
        <v/>
      </c>
      <c r="DP115" s="14">
        <f>DJ115+IF((DG115&gt;=DJ115),DK115,-DK115)</f>
        <v/>
      </c>
      <c r="DQ115" s="14">
        <f>BX115+IF(C115&gt;=65,DH115,0)+IF((DG115&gt;=DJ115),DK115,-DK115)</f>
        <v/>
      </c>
      <c r="DR115" s="14">
        <f>MIN(BV115,tax_tables!$B$22*MAX(0,DP115-tax_tables!$B$21*P115))</f>
        <v/>
      </c>
      <c r="DS115" s="14">
        <f>MAX(0,DP115-DR115)</f>
        <v/>
      </c>
      <c r="DT115" s="14">
        <f>BJ115-BD115</f>
        <v/>
      </c>
      <c r="DU115" s="14">
        <f>(tax_tables!$B$6-(tax_tables!$B$6-tax_tables!$B$7)*MIN(1,MAX(0,(DL115-tax_tables!$B$8*P115)/((tax_tables!$B$9-tax_tables!$B$8)*P115))))*P115+(B115&gt;=65)*MAX(0,tax_tables!$B$10*P115-tax_tables!$B$12*MAX(0,DL115-tax_tables!$B$11*P115))+MIN(tax_tables!$B$13,DM115)+MIN(tax_tables!$B$14*P115,X115)+AF115+(DL115&lt;=DP115)*MAX(0,DT115-MIN(0.03*DL115,tax_tables!$B$15*P115))</f>
        <v/>
      </c>
      <c r="DV115" s="14">
        <f>MAX(0,SUMPRODUCT((DO115&gt;tax_tables!$E$5:$E$16*P115)*(DO115-tax_tables!$E$5:$E$16*P115)*tax_tables!$G$5:$G$16)-tax_tables!$B$5*DU115-tax_tables!$B$16*DF115)</f>
        <v/>
      </c>
      <c r="DW115" s="14">
        <f>tax_tables!$B$35*Q115+(B115&gt;=65)*MAX(0,tax_tables!$B$36*Q115-tax_tables!$B$12*MAX(0,DL115-tax_tables!$B$37*Q115))+MIN(tax_tables!$B$38,DM115)+AF115+(DL115&lt;=DP115)*MAX(0,DT115-MIN(0.03*DL115,tax_tables!$B$39*Q115))</f>
        <v/>
      </c>
      <c r="DX115" s="14">
        <f>MAX(0,SUMPRODUCT((DO115&gt;tax_tables!$I$5:$I$16*Q115)*(DO115-tax_tables!$I$5:$I$16*Q115)*tax_tables!$K$5:$K$16)-tax_tables!$B$34*DW115-tax_tables!$B$40*DF115-MAX(0,tax_tables!$B$41*Q115-tax_tables!$B$43*MAX(0,DL115-tax_tables!$B$42*Q115)))</f>
        <v/>
      </c>
      <c r="DY115" s="14">
        <f>(tax_tables!$B$6-(tax_tables!$B$6-tax_tables!$B$7)*MIN(1,MAX(0,(DP115-tax_tables!$B$8*P115)/((tax_tables!$B$9-tax_tables!$B$8)*P115))))*P115+(C115&gt;=65)*MAX(0,tax_tables!$B$10*P115-tax_tables!$B$12*MAX(0,DP115-tax_tables!$B$11*P115))+MIN(tax_tables!$B$13,DQ115)+MIN(tax_tables!$B$14*P115,Y115)+AG115+(DL115&gt;DP115)*MAX(0,DT115-MIN(0.03*DP115,tax_tables!$B$15*P115))</f>
        <v/>
      </c>
      <c r="DZ115" s="14">
        <f>MAX(0,SUMPRODUCT((DS115&gt;tax_tables!$E$5:$E$16*P115)*(DS115-tax_tables!$E$5:$E$16*P115)*tax_tables!$G$5:$G$16)-tax_tables!$B$5*DY115-tax_tables!$B$16*DI115)</f>
        <v/>
      </c>
      <c r="EA115" s="14">
        <f>tax_tables!$B$35*Q115+(C115&gt;=65)*MAX(0,tax_tables!$B$36*Q115-tax_tables!$B$12*MAX(0,DP115-tax_tables!$B$37*Q115))+MIN(tax_tables!$B$38,DQ115)+AG115+(DL115&gt;DP115)*MAX(0,DT115-MIN(0.03*DP115,tax_tables!$B$39*Q115))</f>
        <v/>
      </c>
      <c r="EB115" s="14">
        <f>MAX(0,SUMPRODUCT((DS115&gt;tax_tables!$I$5:$I$16*Q115)*(DS115-tax_tables!$I$5:$I$16*Q115)*tax_tables!$K$5:$K$16)-tax_tables!$B$34*EA115-tax_tables!$B$40*DI115-MAX(0,tax_tables!$B$41*Q115-tax_tables!$B$43*MAX(0,DP115-tax_tables!$B$42*Q115)))</f>
        <v/>
      </c>
      <c r="EC115" s="14">
        <f>DV115+DZ115+DX115+EB115+DN115+DR115</f>
        <v/>
      </c>
      <c r="ED115" s="14">
        <f>CZ115+DB115+DC115+DD115</f>
        <v/>
      </c>
      <c r="EE115" s="14">
        <f>ED115+BQ115-AR115+BR115</f>
        <v/>
      </c>
    </row>
    <row r="116">
      <c r="A116" s="21">
        <f>A115+1</f>
        <v/>
      </c>
      <c r="B116" s="21">
        <f>A116-household!$B$6</f>
        <v/>
      </c>
      <c r="C116" s="21">
        <f>A116-household!$B$9</f>
        <v/>
      </c>
      <c r="D116" s="14">
        <f>AU116+AV116+AW116+AX116+BB116+BJ116+AM116</f>
        <v/>
      </c>
      <c r="E116" s="14">
        <f>CN116+AI116+AH116</f>
        <v/>
      </c>
      <c r="F116" s="14">
        <f>BS116+BT116+BU116+BV116</f>
        <v/>
      </c>
      <c r="G116" s="14">
        <f>CQ116+CR116+CU116+CD116+CE116+CA116-CV116+CJ116+CW116</f>
        <v/>
      </c>
      <c r="H116" s="22">
        <f>IF(BY116+CB116+CC116+CF116&lt;=0,"",G116/(BY116+CB116+CC116+CF116))</f>
        <v/>
      </c>
      <c r="I116" s="23">
        <f>ED116/O116</f>
        <v/>
      </c>
      <c r="J116" s="23">
        <f>EE116/O116</f>
        <v/>
      </c>
      <c r="K116" s="14">
        <f>MAX(0,CP116-CQ116-CR116-CU116)</f>
        <v/>
      </c>
      <c r="L116" s="10" t="n"/>
      <c r="M116" s="22">
        <f>IF(L116="",$B$18,L116)</f>
        <v/>
      </c>
      <c r="N116" s="13" t="n"/>
      <c r="O116" s="12">
        <f>(1+$B$17)^(A116-household!$B$4+1)</f>
        <v/>
      </c>
      <c r="P116" s="12">
        <f>(1+$B$17)^(A116-tax_tables!$B$4)</f>
        <v/>
      </c>
      <c r="Q116" s="12">
        <f>(1+$B$17)^(A116-tax_tables!$B$4-MAX(0,MIN(A116,tax_tables!$B$45)-tax_tables!$B$44+1))</f>
        <v/>
      </c>
      <c r="R116" s="12">
        <f>(1+$B$21)^(A116-household!$B$4+1)</f>
        <v/>
      </c>
      <c r="S116" s="12">
        <f>(1+$B$22)^(A116-household!$B$4+1)</f>
        <v/>
      </c>
      <c r="T116" s="12">
        <f>(1+$B$23)^(A116-household!$B$4+1)</f>
        <v/>
      </c>
      <c r="U116" s="21">
        <f>IF(A116&lt;$B$5,1,0)</f>
        <v/>
      </c>
      <c r="V116" s="21">
        <f>IF(A116&lt;$B$6,1,0)</f>
        <v/>
      </c>
      <c r="W116" s="21">
        <f>IF(U116+V116&gt;0,1,0)</f>
        <v/>
      </c>
      <c r="X116" s="14">
        <f>U116*$B$7*O116+SUMPRODUCT(($B$72:$B$77=A116)*($D$72:$D$77="Wages: person 1")*$C$72:$C$77)*O116</f>
        <v/>
      </c>
      <c r="Y116" s="14">
        <f>V116*$B$8*O116+SUMPRODUCT(($B$72:$B$77=A116)*($D$72:$D$77="Wages: person 2")*$C$72:$C$77)*O116</f>
        <v/>
      </c>
      <c r="Z116" s="14">
        <f>U116*$B$9*O116</f>
        <v/>
      </c>
      <c r="AA116" s="14">
        <f>V116*$B$10*O116</f>
        <v/>
      </c>
      <c r="AB116" s="14">
        <f>U116*$B$11*O116</f>
        <v/>
      </c>
      <c r="AC116" s="14">
        <f>V116*$B$12*O116</f>
        <v/>
      </c>
      <c r="AD116" s="14">
        <f>X116+Y116</f>
        <v/>
      </c>
      <c r="AE116" s="14">
        <f>AD116-Z116-AA116</f>
        <v/>
      </c>
      <c r="AF116" s="14">
        <f>tax_tables!$B$25*MAX(0,MIN(X116,tax_tables!$B$27*P116)-tax_tables!$B$26)+tax_tables!$B$28*MAX(0,MIN(X116,tax_tables!$B$29*P116)-tax_tables!$B$27*P116)+tax_tables!$B$30*MIN(X116,tax_tables!$B$31*P116)</f>
        <v/>
      </c>
      <c r="AG116" s="14">
        <f>tax_tables!$B$25*MAX(0,MIN(Y116,tax_tables!$B$27*P116)-tax_tables!$B$26)+tax_tables!$B$28*MAX(0,MIN(Y116,tax_tables!$B$29*P116)-tax_tables!$B$27*P116)+tax_tables!$B$30*MIN(Y116,tax_tables!$B$31*P116)</f>
        <v/>
      </c>
      <c r="AH116" s="14">
        <f>AF116+AG116</f>
        <v/>
      </c>
      <c r="AI116" s="14">
        <f>$B$13*AE116</f>
        <v/>
      </c>
      <c r="AJ116" s="14">
        <f>AD116-Z116-AA116-AH116-AI116</f>
        <v/>
      </c>
      <c r="AK116" s="14">
        <f>SUMPRODUCT(($B$72:$B$77=A116)*($D$72:$D$77="Other taxable income")*$C$72:$C$77)*O116</f>
        <v/>
      </c>
      <c r="AL116" s="14">
        <f>SUMPRODUCT(($B$72:$B$77=A116)*($D$72:$D$77="Tax-free money in")*$C$72:$C$77)*O116</f>
        <v/>
      </c>
      <c r="AM116" s="14">
        <f>SUMPRODUCT(($B$72:$B$77=A116)*($D$72:$D$77="Expense")*$C$72:$C$77)*O116</f>
        <v/>
      </c>
      <c r="AN116" s="21">
        <f>IF(OR($B$64="",A116&lt;$B$64),1,0)</f>
        <v/>
      </c>
      <c r="AO116" s="14">
        <f>AR115</f>
        <v/>
      </c>
      <c r="AP116" s="14">
        <f>AN116*AO116*properties!$J$2</f>
        <v/>
      </c>
      <c r="AQ116" s="14">
        <f>AN116*MIN(properties!$K$2,AO116+AP116)</f>
        <v/>
      </c>
      <c r="AR116" s="14">
        <f>AN116*(AO116+AP116-AQ116)</f>
        <v/>
      </c>
      <c r="AS116" s="14">
        <f>AN116*properties!$G$2*O116</f>
        <v/>
      </c>
      <c r="AT116" s="14">
        <f>(1-AN116)*$E$64*O116</f>
        <v/>
      </c>
      <c r="AU116" s="14">
        <f>AQ116+AS116+AT116</f>
        <v/>
      </c>
      <c r="AV116" s="14">
        <f>SUMIF(budget!$A$2:$A$300,"household",budget!$F$2:$F$300)*O116*IF(N116="",1,N116)</f>
        <v/>
      </c>
      <c r="AW116" s="14">
        <f>SUMPRODUCT((other_budget!$C$2:$C$30&lt;=A116)*(other_budget!$D$2:$D$30&gt;=A116)*other_budget!$B$2:$B$30)*O116</f>
        <v/>
      </c>
      <c r="AX116" s="14">
        <f>SUMPRODUCT((kids_budget!$D$2:$D$40&lt;=A116)*(kids_budget!$E$2:$E$40&gt;=A116)*(kids_budget!$G$2:$G$40&lt;&gt;"college_funds")*kids_budget!$C$2:$C$40*((kids_budget!$F$2:$F$40="college")*S116+(kids_budget!$F$2:$F$40&lt;&gt;"college")*O116))</f>
        <v/>
      </c>
      <c r="AY116" s="14">
        <f>SUMPRODUCT((kids_budget!$D$2:$D$40&lt;=A116)*(kids_budget!$E$2:$E$40&gt;=A116)*(kids_budget!$G$2:$G$40="college_funds")*kids_budget!$C$2:$C$40*((kids_budget!$F$2:$F$40="college")*S116+(kids_budget!$F$2:$F$40&lt;&gt;"college")*O116))</f>
        <v/>
      </c>
      <c r="AZ116" s="14">
        <f>BC115</f>
        <v/>
      </c>
      <c r="BA116" s="14">
        <f>MIN(AY116,AZ116*(1+M116))</f>
        <v/>
      </c>
      <c r="BB116" s="14">
        <f>AY116-BA116</f>
        <v/>
      </c>
      <c r="BC116" s="14">
        <f>AZ116*(1+M116)-BA116</f>
        <v/>
      </c>
      <c r="BD116" s="14">
        <f>W116*healthcare!$B$2*R116</f>
        <v/>
      </c>
      <c r="BE116" s="21">
        <f>(1-W116)*2</f>
        <v/>
      </c>
      <c r="BF116" s="14">
        <f>BE116*healthcare!$B$3*12*R116</f>
        <v/>
      </c>
      <c r="BG116" s="14">
        <f>BE116*healthcare!$B$4*R116</f>
        <v/>
      </c>
      <c r="BH116" s="21">
        <f>AND(B116&gt;=$B$44,B116&lt;$B$44+$B$45)*1+AND(C116&gt;=$B$46,C116&lt;$B$46+$B$47)*1</f>
        <v/>
      </c>
      <c r="BI116" s="14">
        <f>BH116*$B$48*T116</f>
        <v/>
      </c>
      <c r="BJ116" s="14">
        <f>BD116+BF116+BG116+BI116</f>
        <v/>
      </c>
      <c r="BK116" s="14">
        <f>SUMPRODUCT((1-($B$65:$B$68&gt;0)*(A116&gt;=$B$65:$B$68))*(1-(($C$65:$C$68&gt;0)*(A116&gt;=$C$65:$C$68)))*(properties!$L$3:$L$6-properties!$M$3:$M$6))*O116+SUMPRODUCT((1-($B$65:$B$68&gt;0)*(A116&gt;=$B$65:$B$68))*(($C$65:$C$68&gt;0)*(A116&gt;=$C$65:$C$68))*($D$65:$D$68-$E$65:$E$68))*O116</f>
        <v/>
      </c>
      <c r="BL116" s="14">
        <f>SUMPRODUCT((1-($B$65:$B$68&gt;0)*(A116&gt;=$B$65:$B$68))*properties!$N$3:$N$6*(A116&lt;=properties!$O$3:$O$6))</f>
        <v/>
      </c>
      <c r="BM116" s="14">
        <f>MAX(0,BK116-BL116)</f>
        <v/>
      </c>
      <c r="BN116" s="14">
        <f>SUMPRODUCT(($B$64:$B$68=A116)*$G$64:$G$68)</f>
        <v/>
      </c>
      <c r="BO116" s="14">
        <f>SUMPRODUCT(($B$64:$B$68=A116)*$H$64:$H$68)</f>
        <v/>
      </c>
      <c r="BP116" s="14">
        <f>SUMPRODUCT(($B$64:$B$68=A116)*$I$64:$I$68)</f>
        <v/>
      </c>
      <c r="BQ116" s="14">
        <f>AN116*properties!$C$2*(1+properties!$D$2)^(A116-household!$B$4+1)</f>
        <v/>
      </c>
      <c r="BR116" s="14">
        <f>SUMPRODUCT((1-($B$65:$B$68&gt;0)*(A116&gt;=$B$65:$B$68))*properties!$C$3:$C$6*(1+properties!$D$3:$D$6)^(A116-household!$B$4+1))</f>
        <v/>
      </c>
      <c r="BS116" s="14">
        <f>IF(A116&gt;=household!$B$6+$B$26,household!$B$11*12*$B$30*O116,0)</f>
        <v/>
      </c>
      <c r="BT116" s="14">
        <f>IF(A116&gt;=household!$B$9+$B$27,household!$B$12*12*$B$31*O116,0)</f>
        <v/>
      </c>
      <c r="BU116" s="14">
        <f>IF(A116&gt;=household!$B$6+$B$28,tax_tables!$B$19*12*P116*MIN(1,household!$B$13/40)*$B$32*(1+tax_tables!$B$20*(B116&gt;=75)),0)</f>
        <v/>
      </c>
      <c r="BV116" s="14">
        <f>IF(A116&gt;=household!$B$9+$B$29,tax_tables!$B$19*12*P116*MIN(1,household!$B$14/40)*$B$33*(1+tax_tables!$B$20*(C116&gt;=75)),0)</f>
        <v/>
      </c>
      <c r="BW116" s="14">
        <f>IF(AND($B$36&lt;&gt;0,A116&gt;=household!$B$6+$B$37),$B$36*(1+$B$17)^(MAX(household!$B$6+$B$37,household!$B$4-1)-household!$B$4+1)*(1+$B$40*$B$17)^(A116-MAX(household!$B$6+$B$37,household!$B$4-1)),0)</f>
        <v/>
      </c>
      <c r="BX116" s="14">
        <f>IF(AND($B$38&lt;&gt;0,A116&gt;=household!$B$9+$B$39),$B$38*(1+$B$17)^(MAX(household!$B$9+$B$39,household!$B$4-1)-household!$B$4+1)*(1+$B$40*$B$17)^(A116-MAX(household!$B$9+$B$39,household!$B$4-1)),0)</f>
        <v/>
      </c>
      <c r="BY116" s="14">
        <f>CZ115</f>
        <v/>
      </c>
      <c r="BZ116" s="14">
        <f>DA115</f>
        <v/>
      </c>
      <c r="CA116" s="14">
        <f>$B$19*BY116</f>
        <v/>
      </c>
      <c r="CB116" s="14">
        <f>DB115</f>
        <v/>
      </c>
      <c r="CC116" s="14">
        <f>DC115</f>
        <v/>
      </c>
      <c r="CD116" s="14">
        <f>IF(B116&gt;=tax_tables!$B$46,MAX(0,CB116)*INDEX(tax_tables!$N$5:$N$54,MATCH(MIN(B116-1,120),tax_tables!$M$5:$M$54,0)),0)</f>
        <v/>
      </c>
      <c r="CE116" s="14">
        <f>IF(C116&gt;=tax_tables!$B$46,MAX(0,CC116)*INDEX(tax_tables!$N$5:$N$54,MATCH(MIN(C116-1,120),tax_tables!$M$5:$M$54,0)),0)</f>
        <v/>
      </c>
      <c r="CF116" s="14">
        <f>DD115</f>
        <v/>
      </c>
      <c r="CG116" s="14">
        <f>IF(OR($B$52="",$B$53=""),0,IF(AND(A116&gt;=$B$52,A116&lt;=$B$53),$B$51*O116,0))</f>
        <v/>
      </c>
      <c r="CH116" s="14">
        <f>MAX(0,CB116*(1+M116)-CD116)</f>
        <v/>
      </c>
      <c r="CI116" s="14">
        <f>MAX(0,CC116*(1+M116)-CE116)</f>
        <v/>
      </c>
      <c r="CJ116" s="14">
        <f>MIN(CG116,CH116+CI116)</f>
        <v/>
      </c>
      <c r="CK116" s="14">
        <f>IF(CH116+CI116&gt;1,CJ116*CH116/(CH116+CI116),0)</f>
        <v/>
      </c>
      <c r="CL116" s="14">
        <f>CJ116-CK116</f>
        <v/>
      </c>
      <c r="CM116" s="14">
        <f>CM115-CW115+CU115+tax_tables!$B$32*P116*2</f>
        <v/>
      </c>
      <c r="CN116" s="14">
        <f>EC115-AI115</f>
        <v/>
      </c>
      <c r="CO116" s="14">
        <f>AJ116+F116+BW116+BX116+BK116+CA116+CD116+CE116+BN116+AK116+AL116+CJ116</f>
        <v/>
      </c>
      <c r="CP116" s="14">
        <f>D116+CN116-CO116</f>
        <v/>
      </c>
      <c r="CQ116" s="14">
        <f>MAX(0,MIN(CP116,BY116*(1+M116-$B$19)))</f>
        <v/>
      </c>
      <c r="CR116" s="14">
        <f>MAX(0,MIN(CP116-CQ116,(CH116-CK116)+(CI116-CL116)))</f>
        <v/>
      </c>
      <c r="CS116" s="14">
        <f>IF((CH116-CK116)+(CI116-CL116)&gt;1,CR116*(CH116-CK116)/((CH116-CK116)+(CI116-CL116)),0)</f>
        <v/>
      </c>
      <c r="CT116" s="14">
        <f>CR116-CS116</f>
        <v/>
      </c>
      <c r="CU116" s="14">
        <f>MAX(0,MIN(CP116-CQ116-CR116,CF116*(1+M116)))</f>
        <v/>
      </c>
      <c r="CV116" s="14">
        <f>MAX(0,-CP116)</f>
        <v/>
      </c>
      <c r="CW116" s="14">
        <f>MIN(CV116,MAX(0,CM116))</f>
        <v/>
      </c>
      <c r="CX116" s="22">
        <f>IF(BY116&gt;0,MAX(0,1-BZ116/BY116),0)</f>
        <v/>
      </c>
      <c r="CY116" s="14">
        <f>CQ116*CX116</f>
        <v/>
      </c>
      <c r="CZ116" s="14">
        <f>BY116*(1+M116-$B$19)-CQ116+(CV116-CW116)</f>
        <v/>
      </c>
      <c r="DA116" s="14">
        <f>BZ116-(CQ116-CY116)+(CV116-CW116)</f>
        <v/>
      </c>
      <c r="DB116" s="14">
        <f>CB116*(1+M116)-CD116-CS116-CK116+Z116+AB116</f>
        <v/>
      </c>
      <c r="DC116" s="14">
        <f>CC116*(1+M116)-CE116-CT116-CL116+AA116+AC116</f>
        <v/>
      </c>
      <c r="DD116" s="14">
        <f>CF116*(1+M116)-CU116+CW116</f>
        <v/>
      </c>
      <c r="DE116" s="14">
        <f>CD116+CK116+CS116</f>
        <v/>
      </c>
      <c r="DF116" s="14">
        <f>CA116*household!$B$15*$B$20*(1+tax_tables!$B$17)</f>
        <v/>
      </c>
      <c r="DG116" s="14">
        <f>X116+BS116+BU116+BW116+DE116+DF116+CA116*household!$B$15*(1-$B$20)+(CY116+BO116)*household!$B$15*tax_tables!$B$18+(BP116+BM116+AK116)*household!$B$15-Z116</f>
        <v/>
      </c>
      <c r="DH116" s="14">
        <f>CE116+CL116+CT116</f>
        <v/>
      </c>
      <c r="DI116" s="14">
        <f>CA116*(1-household!$B$15)*$B$20*(1+tax_tables!$B$17)</f>
        <v/>
      </c>
      <c r="DJ116" s="14">
        <f>Y116+BT116+BV116+BX116+DH116+DI116+CA116*(1-household!$B$15)*(1-$B$20)+(CY116+BO116)*(1-household!$B$15)*tax_tables!$B$18+(BP116+BM116+AK116)*(1-household!$B$15)-AA116</f>
        <v/>
      </c>
      <c r="DK116" s="14">
        <f>IF((DG116&gt;=DJ116),MIN(0.5*(BW116+IF(B116&gt;=65,DE116,0)),MAX(0,(DG116-DJ116)/2)),MIN(0.5*(BX116+IF(C116&gt;=65,DH116,0)),MAX(0,(DJ116-DG116)/2)))</f>
        <v/>
      </c>
      <c r="DL116" s="14">
        <f>DG116+IF((DG116&gt;=DJ116),-DK116,DK116)</f>
        <v/>
      </c>
      <c r="DM116" s="14">
        <f>BW116+IF(B116&gt;=65,DE116,0)+IF((DG116&gt;=DJ116),-DK116,DK116)</f>
        <v/>
      </c>
      <c r="DN116" s="14">
        <f>MIN(BU116,tax_tables!$B$22*MAX(0,DL116-tax_tables!$B$21*P116))</f>
        <v/>
      </c>
      <c r="DO116" s="14">
        <f>MAX(0,DL116-DN116)</f>
        <v/>
      </c>
      <c r="DP116" s="14">
        <f>DJ116+IF((DG116&gt;=DJ116),DK116,-DK116)</f>
        <v/>
      </c>
      <c r="DQ116" s="14">
        <f>BX116+IF(C116&gt;=65,DH116,0)+IF((DG116&gt;=DJ116),DK116,-DK116)</f>
        <v/>
      </c>
      <c r="DR116" s="14">
        <f>MIN(BV116,tax_tables!$B$22*MAX(0,DP116-tax_tables!$B$21*P116))</f>
        <v/>
      </c>
      <c r="DS116" s="14">
        <f>MAX(0,DP116-DR116)</f>
        <v/>
      </c>
      <c r="DT116" s="14">
        <f>BJ116-BD116</f>
        <v/>
      </c>
      <c r="DU116" s="14">
        <f>(tax_tables!$B$6-(tax_tables!$B$6-tax_tables!$B$7)*MIN(1,MAX(0,(DL116-tax_tables!$B$8*P116)/((tax_tables!$B$9-tax_tables!$B$8)*P116))))*P116+(B116&gt;=65)*MAX(0,tax_tables!$B$10*P116-tax_tables!$B$12*MAX(0,DL116-tax_tables!$B$11*P116))+MIN(tax_tables!$B$13,DM116)+MIN(tax_tables!$B$14*P116,X116)+AF116+(DL116&lt;=DP116)*MAX(0,DT116-MIN(0.03*DL116,tax_tables!$B$15*P116))</f>
        <v/>
      </c>
      <c r="DV116" s="14">
        <f>MAX(0,SUMPRODUCT((DO116&gt;tax_tables!$E$5:$E$16*P116)*(DO116-tax_tables!$E$5:$E$16*P116)*tax_tables!$G$5:$G$16)-tax_tables!$B$5*DU116-tax_tables!$B$16*DF116)</f>
        <v/>
      </c>
      <c r="DW116" s="14">
        <f>tax_tables!$B$35*Q116+(B116&gt;=65)*MAX(0,tax_tables!$B$36*Q116-tax_tables!$B$12*MAX(0,DL116-tax_tables!$B$37*Q116))+MIN(tax_tables!$B$38,DM116)+AF116+(DL116&lt;=DP116)*MAX(0,DT116-MIN(0.03*DL116,tax_tables!$B$39*Q116))</f>
        <v/>
      </c>
      <c r="DX116" s="14">
        <f>MAX(0,SUMPRODUCT((DO116&gt;tax_tables!$I$5:$I$16*Q116)*(DO116-tax_tables!$I$5:$I$16*Q116)*tax_tables!$K$5:$K$16)-tax_tables!$B$34*DW116-tax_tables!$B$40*DF116-MAX(0,tax_tables!$B$41*Q116-tax_tables!$B$43*MAX(0,DL116-tax_tables!$B$42*Q116)))</f>
        <v/>
      </c>
      <c r="DY116" s="14">
        <f>(tax_tables!$B$6-(tax_tables!$B$6-tax_tables!$B$7)*MIN(1,MAX(0,(DP116-tax_tables!$B$8*P116)/((tax_tables!$B$9-tax_tables!$B$8)*P116))))*P116+(C116&gt;=65)*MAX(0,tax_tables!$B$10*P116-tax_tables!$B$12*MAX(0,DP116-tax_tables!$B$11*P116))+MIN(tax_tables!$B$13,DQ116)+MIN(tax_tables!$B$14*P116,Y116)+AG116+(DL116&gt;DP116)*MAX(0,DT116-MIN(0.03*DP116,tax_tables!$B$15*P116))</f>
        <v/>
      </c>
      <c r="DZ116" s="14">
        <f>MAX(0,SUMPRODUCT((DS116&gt;tax_tables!$E$5:$E$16*P116)*(DS116-tax_tables!$E$5:$E$16*P116)*tax_tables!$G$5:$G$16)-tax_tables!$B$5*DY116-tax_tables!$B$16*DI116)</f>
        <v/>
      </c>
      <c r="EA116" s="14">
        <f>tax_tables!$B$35*Q116+(C116&gt;=65)*MAX(0,tax_tables!$B$36*Q116-tax_tables!$B$12*MAX(0,DP116-tax_tables!$B$37*Q116))+MIN(tax_tables!$B$38,DQ116)+AG116+(DL116&gt;DP116)*MAX(0,DT116-MIN(0.03*DP116,tax_tables!$B$39*Q116))</f>
        <v/>
      </c>
      <c r="EB116" s="14">
        <f>MAX(0,SUMPRODUCT((DS116&gt;tax_tables!$I$5:$I$16*Q116)*(DS116-tax_tables!$I$5:$I$16*Q116)*tax_tables!$K$5:$K$16)-tax_tables!$B$34*EA116-tax_tables!$B$40*DI116-MAX(0,tax_tables!$B$41*Q116-tax_tables!$B$43*MAX(0,DP116-tax_tables!$B$42*Q116)))</f>
        <v/>
      </c>
      <c r="EC116" s="14">
        <f>DV116+DZ116+DX116+EB116+DN116+DR116</f>
        <v/>
      </c>
      <c r="ED116" s="14">
        <f>CZ116+DB116+DC116+DD116</f>
        <v/>
      </c>
      <c r="EE116" s="14">
        <f>ED116+BQ116-AR116+BR116</f>
        <v/>
      </c>
    </row>
    <row r="117">
      <c r="A117" s="21">
        <f>A116+1</f>
        <v/>
      </c>
      <c r="B117" s="21">
        <f>A117-household!$B$6</f>
        <v/>
      </c>
      <c r="C117" s="21">
        <f>A117-household!$B$9</f>
        <v/>
      </c>
      <c r="D117" s="14">
        <f>AU117+AV117+AW117+AX117+BB117+BJ117+AM117</f>
        <v/>
      </c>
      <c r="E117" s="14">
        <f>CN117+AI117+AH117</f>
        <v/>
      </c>
      <c r="F117" s="14">
        <f>BS117+BT117+BU117+BV117</f>
        <v/>
      </c>
      <c r="G117" s="14">
        <f>CQ117+CR117+CU117+CD117+CE117+CA117-CV117+CJ117+CW117</f>
        <v/>
      </c>
      <c r="H117" s="22">
        <f>IF(BY117+CB117+CC117+CF117&lt;=0,"",G117/(BY117+CB117+CC117+CF117))</f>
        <v/>
      </c>
      <c r="I117" s="23">
        <f>ED117/O117</f>
        <v/>
      </c>
      <c r="J117" s="23">
        <f>EE117/O117</f>
        <v/>
      </c>
      <c r="K117" s="14">
        <f>MAX(0,CP117-CQ117-CR117-CU117)</f>
        <v/>
      </c>
      <c r="L117" s="10" t="n"/>
      <c r="M117" s="22">
        <f>IF(L117="",$B$18,L117)</f>
        <v/>
      </c>
      <c r="N117" s="13" t="n"/>
      <c r="O117" s="12">
        <f>(1+$B$17)^(A117-household!$B$4+1)</f>
        <v/>
      </c>
      <c r="P117" s="12">
        <f>(1+$B$17)^(A117-tax_tables!$B$4)</f>
        <v/>
      </c>
      <c r="Q117" s="12">
        <f>(1+$B$17)^(A117-tax_tables!$B$4-MAX(0,MIN(A117,tax_tables!$B$45)-tax_tables!$B$44+1))</f>
        <v/>
      </c>
      <c r="R117" s="12">
        <f>(1+$B$21)^(A117-household!$B$4+1)</f>
        <v/>
      </c>
      <c r="S117" s="12">
        <f>(1+$B$22)^(A117-household!$B$4+1)</f>
        <v/>
      </c>
      <c r="T117" s="12">
        <f>(1+$B$23)^(A117-household!$B$4+1)</f>
        <v/>
      </c>
      <c r="U117" s="21">
        <f>IF(A117&lt;$B$5,1,0)</f>
        <v/>
      </c>
      <c r="V117" s="21">
        <f>IF(A117&lt;$B$6,1,0)</f>
        <v/>
      </c>
      <c r="W117" s="21">
        <f>IF(U117+V117&gt;0,1,0)</f>
        <v/>
      </c>
      <c r="X117" s="14">
        <f>U117*$B$7*O117+SUMPRODUCT(($B$72:$B$77=A117)*($D$72:$D$77="Wages: person 1")*$C$72:$C$77)*O117</f>
        <v/>
      </c>
      <c r="Y117" s="14">
        <f>V117*$B$8*O117+SUMPRODUCT(($B$72:$B$77=A117)*($D$72:$D$77="Wages: person 2")*$C$72:$C$77)*O117</f>
        <v/>
      </c>
      <c r="Z117" s="14">
        <f>U117*$B$9*O117</f>
        <v/>
      </c>
      <c r="AA117" s="14">
        <f>V117*$B$10*O117</f>
        <v/>
      </c>
      <c r="AB117" s="14">
        <f>U117*$B$11*O117</f>
        <v/>
      </c>
      <c r="AC117" s="14">
        <f>V117*$B$12*O117</f>
        <v/>
      </c>
      <c r="AD117" s="14">
        <f>X117+Y117</f>
        <v/>
      </c>
      <c r="AE117" s="14">
        <f>AD117-Z117-AA117</f>
        <v/>
      </c>
      <c r="AF117" s="14">
        <f>tax_tables!$B$25*MAX(0,MIN(X117,tax_tables!$B$27*P117)-tax_tables!$B$26)+tax_tables!$B$28*MAX(0,MIN(X117,tax_tables!$B$29*P117)-tax_tables!$B$27*P117)+tax_tables!$B$30*MIN(X117,tax_tables!$B$31*P117)</f>
        <v/>
      </c>
      <c r="AG117" s="14">
        <f>tax_tables!$B$25*MAX(0,MIN(Y117,tax_tables!$B$27*P117)-tax_tables!$B$26)+tax_tables!$B$28*MAX(0,MIN(Y117,tax_tables!$B$29*P117)-tax_tables!$B$27*P117)+tax_tables!$B$30*MIN(Y117,tax_tables!$B$31*P117)</f>
        <v/>
      </c>
      <c r="AH117" s="14">
        <f>AF117+AG117</f>
        <v/>
      </c>
      <c r="AI117" s="14">
        <f>$B$13*AE117</f>
        <v/>
      </c>
      <c r="AJ117" s="14">
        <f>AD117-Z117-AA117-AH117-AI117</f>
        <v/>
      </c>
      <c r="AK117" s="14">
        <f>SUMPRODUCT(($B$72:$B$77=A117)*($D$72:$D$77="Other taxable income")*$C$72:$C$77)*O117</f>
        <v/>
      </c>
      <c r="AL117" s="14">
        <f>SUMPRODUCT(($B$72:$B$77=A117)*($D$72:$D$77="Tax-free money in")*$C$72:$C$77)*O117</f>
        <v/>
      </c>
      <c r="AM117" s="14">
        <f>SUMPRODUCT(($B$72:$B$77=A117)*($D$72:$D$77="Expense")*$C$72:$C$77)*O117</f>
        <v/>
      </c>
      <c r="AN117" s="21">
        <f>IF(OR($B$64="",A117&lt;$B$64),1,0)</f>
        <v/>
      </c>
      <c r="AO117" s="14">
        <f>AR116</f>
        <v/>
      </c>
      <c r="AP117" s="14">
        <f>AN117*AO117*properties!$J$2</f>
        <v/>
      </c>
      <c r="AQ117" s="14">
        <f>AN117*MIN(properties!$K$2,AO117+AP117)</f>
        <v/>
      </c>
      <c r="AR117" s="14">
        <f>AN117*(AO117+AP117-AQ117)</f>
        <v/>
      </c>
      <c r="AS117" s="14">
        <f>AN117*properties!$G$2*O117</f>
        <v/>
      </c>
      <c r="AT117" s="14">
        <f>(1-AN117)*$E$64*O117</f>
        <v/>
      </c>
      <c r="AU117" s="14">
        <f>AQ117+AS117+AT117</f>
        <v/>
      </c>
      <c r="AV117" s="14">
        <f>SUMIF(budget!$A$2:$A$300,"household",budget!$F$2:$F$300)*O117*IF(N117="",1,N117)</f>
        <v/>
      </c>
      <c r="AW117" s="14">
        <f>SUMPRODUCT((other_budget!$C$2:$C$30&lt;=A117)*(other_budget!$D$2:$D$30&gt;=A117)*other_budget!$B$2:$B$30)*O117</f>
        <v/>
      </c>
      <c r="AX117" s="14">
        <f>SUMPRODUCT((kids_budget!$D$2:$D$40&lt;=A117)*(kids_budget!$E$2:$E$40&gt;=A117)*(kids_budget!$G$2:$G$40&lt;&gt;"college_funds")*kids_budget!$C$2:$C$40*((kids_budget!$F$2:$F$40="college")*S117+(kids_budget!$F$2:$F$40&lt;&gt;"college")*O117))</f>
        <v/>
      </c>
      <c r="AY117" s="14">
        <f>SUMPRODUCT((kids_budget!$D$2:$D$40&lt;=A117)*(kids_budget!$E$2:$E$40&gt;=A117)*(kids_budget!$G$2:$G$40="college_funds")*kids_budget!$C$2:$C$40*((kids_budget!$F$2:$F$40="college")*S117+(kids_budget!$F$2:$F$40&lt;&gt;"college")*O117))</f>
        <v/>
      </c>
      <c r="AZ117" s="14">
        <f>BC116</f>
        <v/>
      </c>
      <c r="BA117" s="14">
        <f>MIN(AY117,AZ117*(1+M117))</f>
        <v/>
      </c>
      <c r="BB117" s="14">
        <f>AY117-BA117</f>
        <v/>
      </c>
      <c r="BC117" s="14">
        <f>AZ117*(1+M117)-BA117</f>
        <v/>
      </c>
      <c r="BD117" s="14">
        <f>W117*healthcare!$B$2*R117</f>
        <v/>
      </c>
      <c r="BE117" s="21">
        <f>(1-W117)*2</f>
        <v/>
      </c>
      <c r="BF117" s="14">
        <f>BE117*healthcare!$B$3*12*R117</f>
        <v/>
      </c>
      <c r="BG117" s="14">
        <f>BE117*healthcare!$B$4*R117</f>
        <v/>
      </c>
      <c r="BH117" s="21">
        <f>AND(B117&gt;=$B$44,B117&lt;$B$44+$B$45)*1+AND(C117&gt;=$B$46,C117&lt;$B$46+$B$47)*1</f>
        <v/>
      </c>
      <c r="BI117" s="14">
        <f>BH117*$B$48*T117</f>
        <v/>
      </c>
      <c r="BJ117" s="14">
        <f>BD117+BF117+BG117+BI117</f>
        <v/>
      </c>
      <c r="BK117" s="14">
        <f>SUMPRODUCT((1-($B$65:$B$68&gt;0)*(A117&gt;=$B$65:$B$68))*(1-(($C$65:$C$68&gt;0)*(A117&gt;=$C$65:$C$68)))*(properties!$L$3:$L$6-properties!$M$3:$M$6))*O117+SUMPRODUCT((1-($B$65:$B$68&gt;0)*(A117&gt;=$B$65:$B$68))*(($C$65:$C$68&gt;0)*(A117&gt;=$C$65:$C$68))*($D$65:$D$68-$E$65:$E$68))*O117</f>
        <v/>
      </c>
      <c r="BL117" s="14">
        <f>SUMPRODUCT((1-($B$65:$B$68&gt;0)*(A117&gt;=$B$65:$B$68))*properties!$N$3:$N$6*(A117&lt;=properties!$O$3:$O$6))</f>
        <v/>
      </c>
      <c r="BM117" s="14">
        <f>MAX(0,BK117-BL117)</f>
        <v/>
      </c>
      <c r="BN117" s="14">
        <f>SUMPRODUCT(($B$64:$B$68=A117)*$G$64:$G$68)</f>
        <v/>
      </c>
      <c r="BO117" s="14">
        <f>SUMPRODUCT(($B$64:$B$68=A117)*$H$64:$H$68)</f>
        <v/>
      </c>
      <c r="BP117" s="14">
        <f>SUMPRODUCT(($B$64:$B$68=A117)*$I$64:$I$68)</f>
        <v/>
      </c>
      <c r="BQ117" s="14">
        <f>AN117*properties!$C$2*(1+properties!$D$2)^(A117-household!$B$4+1)</f>
        <v/>
      </c>
      <c r="BR117" s="14">
        <f>SUMPRODUCT((1-($B$65:$B$68&gt;0)*(A117&gt;=$B$65:$B$68))*properties!$C$3:$C$6*(1+properties!$D$3:$D$6)^(A117-household!$B$4+1))</f>
        <v/>
      </c>
      <c r="BS117" s="14">
        <f>IF(A117&gt;=household!$B$6+$B$26,household!$B$11*12*$B$30*O117,0)</f>
        <v/>
      </c>
      <c r="BT117" s="14">
        <f>IF(A117&gt;=household!$B$9+$B$27,household!$B$12*12*$B$31*O117,0)</f>
        <v/>
      </c>
      <c r="BU117" s="14">
        <f>IF(A117&gt;=household!$B$6+$B$28,tax_tables!$B$19*12*P117*MIN(1,household!$B$13/40)*$B$32*(1+tax_tables!$B$20*(B117&gt;=75)),0)</f>
        <v/>
      </c>
      <c r="BV117" s="14">
        <f>IF(A117&gt;=household!$B$9+$B$29,tax_tables!$B$19*12*P117*MIN(1,household!$B$14/40)*$B$33*(1+tax_tables!$B$20*(C117&gt;=75)),0)</f>
        <v/>
      </c>
      <c r="BW117" s="14">
        <f>IF(AND($B$36&lt;&gt;0,A117&gt;=household!$B$6+$B$37),$B$36*(1+$B$17)^(MAX(household!$B$6+$B$37,household!$B$4-1)-household!$B$4+1)*(1+$B$40*$B$17)^(A117-MAX(household!$B$6+$B$37,household!$B$4-1)),0)</f>
        <v/>
      </c>
      <c r="BX117" s="14">
        <f>IF(AND($B$38&lt;&gt;0,A117&gt;=household!$B$9+$B$39),$B$38*(1+$B$17)^(MAX(household!$B$9+$B$39,household!$B$4-1)-household!$B$4+1)*(1+$B$40*$B$17)^(A117-MAX(household!$B$9+$B$39,household!$B$4-1)),0)</f>
        <v/>
      </c>
      <c r="BY117" s="14">
        <f>CZ116</f>
        <v/>
      </c>
      <c r="BZ117" s="14">
        <f>DA116</f>
        <v/>
      </c>
      <c r="CA117" s="14">
        <f>$B$19*BY117</f>
        <v/>
      </c>
      <c r="CB117" s="14">
        <f>DB116</f>
        <v/>
      </c>
      <c r="CC117" s="14">
        <f>DC116</f>
        <v/>
      </c>
      <c r="CD117" s="14">
        <f>IF(B117&gt;=tax_tables!$B$46,MAX(0,CB117)*INDEX(tax_tables!$N$5:$N$54,MATCH(MIN(B117-1,120),tax_tables!$M$5:$M$54,0)),0)</f>
        <v/>
      </c>
      <c r="CE117" s="14">
        <f>IF(C117&gt;=tax_tables!$B$46,MAX(0,CC117)*INDEX(tax_tables!$N$5:$N$54,MATCH(MIN(C117-1,120),tax_tables!$M$5:$M$54,0)),0)</f>
        <v/>
      </c>
      <c r="CF117" s="14">
        <f>DD116</f>
        <v/>
      </c>
      <c r="CG117" s="14">
        <f>IF(OR($B$52="",$B$53=""),0,IF(AND(A117&gt;=$B$52,A117&lt;=$B$53),$B$51*O117,0))</f>
        <v/>
      </c>
      <c r="CH117" s="14">
        <f>MAX(0,CB117*(1+M117)-CD117)</f>
        <v/>
      </c>
      <c r="CI117" s="14">
        <f>MAX(0,CC117*(1+M117)-CE117)</f>
        <v/>
      </c>
      <c r="CJ117" s="14">
        <f>MIN(CG117,CH117+CI117)</f>
        <v/>
      </c>
      <c r="CK117" s="14">
        <f>IF(CH117+CI117&gt;1,CJ117*CH117/(CH117+CI117),0)</f>
        <v/>
      </c>
      <c r="CL117" s="14">
        <f>CJ117-CK117</f>
        <v/>
      </c>
      <c r="CM117" s="14">
        <f>CM116-CW116+CU116+tax_tables!$B$32*P117*2</f>
        <v/>
      </c>
      <c r="CN117" s="14">
        <f>EC116-AI116</f>
        <v/>
      </c>
      <c r="CO117" s="14">
        <f>AJ117+F117+BW117+BX117+BK117+CA117+CD117+CE117+BN117+AK117+AL117+CJ117</f>
        <v/>
      </c>
      <c r="CP117" s="14">
        <f>D117+CN117-CO117</f>
        <v/>
      </c>
      <c r="CQ117" s="14">
        <f>MAX(0,MIN(CP117,BY117*(1+M117-$B$19)))</f>
        <v/>
      </c>
      <c r="CR117" s="14">
        <f>MAX(0,MIN(CP117-CQ117,(CH117-CK117)+(CI117-CL117)))</f>
        <v/>
      </c>
      <c r="CS117" s="14">
        <f>IF((CH117-CK117)+(CI117-CL117)&gt;1,CR117*(CH117-CK117)/((CH117-CK117)+(CI117-CL117)),0)</f>
        <v/>
      </c>
      <c r="CT117" s="14">
        <f>CR117-CS117</f>
        <v/>
      </c>
      <c r="CU117" s="14">
        <f>MAX(0,MIN(CP117-CQ117-CR117,CF117*(1+M117)))</f>
        <v/>
      </c>
      <c r="CV117" s="14">
        <f>MAX(0,-CP117)</f>
        <v/>
      </c>
      <c r="CW117" s="14">
        <f>MIN(CV117,MAX(0,CM117))</f>
        <v/>
      </c>
      <c r="CX117" s="22">
        <f>IF(BY117&gt;0,MAX(0,1-BZ117/BY117),0)</f>
        <v/>
      </c>
      <c r="CY117" s="14">
        <f>CQ117*CX117</f>
        <v/>
      </c>
      <c r="CZ117" s="14">
        <f>BY117*(1+M117-$B$19)-CQ117+(CV117-CW117)</f>
        <v/>
      </c>
      <c r="DA117" s="14">
        <f>BZ117-(CQ117-CY117)+(CV117-CW117)</f>
        <v/>
      </c>
      <c r="DB117" s="14">
        <f>CB117*(1+M117)-CD117-CS117-CK117+Z117+AB117</f>
        <v/>
      </c>
      <c r="DC117" s="14">
        <f>CC117*(1+M117)-CE117-CT117-CL117+AA117+AC117</f>
        <v/>
      </c>
      <c r="DD117" s="14">
        <f>CF117*(1+M117)-CU117+CW117</f>
        <v/>
      </c>
      <c r="DE117" s="14">
        <f>CD117+CK117+CS117</f>
        <v/>
      </c>
      <c r="DF117" s="14">
        <f>CA117*household!$B$15*$B$20*(1+tax_tables!$B$17)</f>
        <v/>
      </c>
      <c r="DG117" s="14">
        <f>X117+BS117+BU117+BW117+DE117+DF117+CA117*household!$B$15*(1-$B$20)+(CY117+BO117)*household!$B$15*tax_tables!$B$18+(BP117+BM117+AK117)*household!$B$15-Z117</f>
        <v/>
      </c>
      <c r="DH117" s="14">
        <f>CE117+CL117+CT117</f>
        <v/>
      </c>
      <c r="DI117" s="14">
        <f>CA117*(1-household!$B$15)*$B$20*(1+tax_tables!$B$17)</f>
        <v/>
      </c>
      <c r="DJ117" s="14">
        <f>Y117+BT117+BV117+BX117+DH117+DI117+CA117*(1-household!$B$15)*(1-$B$20)+(CY117+BO117)*(1-household!$B$15)*tax_tables!$B$18+(BP117+BM117+AK117)*(1-household!$B$15)-AA117</f>
        <v/>
      </c>
      <c r="DK117" s="14">
        <f>IF((DG117&gt;=DJ117),MIN(0.5*(BW117+IF(B117&gt;=65,DE117,0)),MAX(0,(DG117-DJ117)/2)),MIN(0.5*(BX117+IF(C117&gt;=65,DH117,0)),MAX(0,(DJ117-DG117)/2)))</f>
        <v/>
      </c>
      <c r="DL117" s="14">
        <f>DG117+IF((DG117&gt;=DJ117),-DK117,DK117)</f>
        <v/>
      </c>
      <c r="DM117" s="14">
        <f>BW117+IF(B117&gt;=65,DE117,0)+IF((DG117&gt;=DJ117),-DK117,DK117)</f>
        <v/>
      </c>
      <c r="DN117" s="14">
        <f>MIN(BU117,tax_tables!$B$22*MAX(0,DL117-tax_tables!$B$21*P117))</f>
        <v/>
      </c>
      <c r="DO117" s="14">
        <f>MAX(0,DL117-DN117)</f>
        <v/>
      </c>
      <c r="DP117" s="14">
        <f>DJ117+IF((DG117&gt;=DJ117),DK117,-DK117)</f>
        <v/>
      </c>
      <c r="DQ117" s="14">
        <f>BX117+IF(C117&gt;=65,DH117,0)+IF((DG117&gt;=DJ117),DK117,-DK117)</f>
        <v/>
      </c>
      <c r="DR117" s="14">
        <f>MIN(BV117,tax_tables!$B$22*MAX(0,DP117-tax_tables!$B$21*P117))</f>
        <v/>
      </c>
      <c r="DS117" s="14">
        <f>MAX(0,DP117-DR117)</f>
        <v/>
      </c>
      <c r="DT117" s="14">
        <f>BJ117-BD117</f>
        <v/>
      </c>
      <c r="DU117" s="14">
        <f>(tax_tables!$B$6-(tax_tables!$B$6-tax_tables!$B$7)*MIN(1,MAX(0,(DL117-tax_tables!$B$8*P117)/((tax_tables!$B$9-tax_tables!$B$8)*P117))))*P117+(B117&gt;=65)*MAX(0,tax_tables!$B$10*P117-tax_tables!$B$12*MAX(0,DL117-tax_tables!$B$11*P117))+MIN(tax_tables!$B$13,DM117)+MIN(tax_tables!$B$14*P117,X117)+AF117+(DL117&lt;=DP117)*MAX(0,DT117-MIN(0.03*DL117,tax_tables!$B$15*P117))</f>
        <v/>
      </c>
      <c r="DV117" s="14">
        <f>MAX(0,SUMPRODUCT((DO117&gt;tax_tables!$E$5:$E$16*P117)*(DO117-tax_tables!$E$5:$E$16*P117)*tax_tables!$G$5:$G$16)-tax_tables!$B$5*DU117-tax_tables!$B$16*DF117)</f>
        <v/>
      </c>
      <c r="DW117" s="14">
        <f>tax_tables!$B$35*Q117+(B117&gt;=65)*MAX(0,tax_tables!$B$36*Q117-tax_tables!$B$12*MAX(0,DL117-tax_tables!$B$37*Q117))+MIN(tax_tables!$B$38,DM117)+AF117+(DL117&lt;=DP117)*MAX(0,DT117-MIN(0.03*DL117,tax_tables!$B$39*Q117))</f>
        <v/>
      </c>
      <c r="DX117" s="14">
        <f>MAX(0,SUMPRODUCT((DO117&gt;tax_tables!$I$5:$I$16*Q117)*(DO117-tax_tables!$I$5:$I$16*Q117)*tax_tables!$K$5:$K$16)-tax_tables!$B$34*DW117-tax_tables!$B$40*DF117-MAX(0,tax_tables!$B$41*Q117-tax_tables!$B$43*MAX(0,DL117-tax_tables!$B$42*Q117)))</f>
        <v/>
      </c>
      <c r="DY117" s="14">
        <f>(tax_tables!$B$6-(tax_tables!$B$6-tax_tables!$B$7)*MIN(1,MAX(0,(DP117-tax_tables!$B$8*P117)/((tax_tables!$B$9-tax_tables!$B$8)*P117))))*P117+(C117&gt;=65)*MAX(0,tax_tables!$B$10*P117-tax_tables!$B$12*MAX(0,DP117-tax_tables!$B$11*P117))+MIN(tax_tables!$B$13,DQ117)+MIN(tax_tables!$B$14*P117,Y117)+AG117+(DL117&gt;DP117)*MAX(0,DT117-MIN(0.03*DP117,tax_tables!$B$15*P117))</f>
        <v/>
      </c>
      <c r="DZ117" s="14">
        <f>MAX(0,SUMPRODUCT((DS117&gt;tax_tables!$E$5:$E$16*P117)*(DS117-tax_tables!$E$5:$E$16*P117)*tax_tables!$G$5:$G$16)-tax_tables!$B$5*DY117-tax_tables!$B$16*DI117)</f>
        <v/>
      </c>
      <c r="EA117" s="14">
        <f>tax_tables!$B$35*Q117+(C117&gt;=65)*MAX(0,tax_tables!$B$36*Q117-tax_tables!$B$12*MAX(0,DP117-tax_tables!$B$37*Q117))+MIN(tax_tables!$B$38,DQ117)+AG117+(DL117&gt;DP117)*MAX(0,DT117-MIN(0.03*DP117,tax_tables!$B$39*Q117))</f>
        <v/>
      </c>
      <c r="EB117" s="14">
        <f>MAX(0,SUMPRODUCT((DS117&gt;tax_tables!$I$5:$I$16*Q117)*(DS117-tax_tables!$I$5:$I$16*Q117)*tax_tables!$K$5:$K$16)-tax_tables!$B$34*EA117-tax_tables!$B$40*DI117-MAX(0,tax_tables!$B$41*Q117-tax_tables!$B$43*MAX(0,DP117-tax_tables!$B$42*Q117)))</f>
        <v/>
      </c>
      <c r="EC117" s="14">
        <f>DV117+DZ117+DX117+EB117+DN117+DR117</f>
        <v/>
      </c>
      <c r="ED117" s="14">
        <f>CZ117+DB117+DC117+DD117</f>
        <v/>
      </c>
      <c r="EE117" s="14">
        <f>ED117+BQ117-AR117+BR117</f>
        <v/>
      </c>
    </row>
    <row r="118">
      <c r="A118" s="21">
        <f>A117+1</f>
        <v/>
      </c>
      <c r="B118" s="21">
        <f>A118-household!$B$6</f>
        <v/>
      </c>
      <c r="C118" s="21">
        <f>A118-household!$B$9</f>
        <v/>
      </c>
      <c r="D118" s="14">
        <f>AU118+AV118+AW118+AX118+BB118+BJ118+AM118</f>
        <v/>
      </c>
      <c r="E118" s="14">
        <f>CN118+AI118+AH118</f>
        <v/>
      </c>
      <c r="F118" s="14">
        <f>BS118+BT118+BU118+BV118</f>
        <v/>
      </c>
      <c r="G118" s="14">
        <f>CQ118+CR118+CU118+CD118+CE118+CA118-CV118+CJ118+CW118</f>
        <v/>
      </c>
      <c r="H118" s="22">
        <f>IF(BY118+CB118+CC118+CF118&lt;=0,"",G118/(BY118+CB118+CC118+CF118))</f>
        <v/>
      </c>
      <c r="I118" s="23">
        <f>ED118/O118</f>
        <v/>
      </c>
      <c r="J118" s="23">
        <f>EE118/O118</f>
        <v/>
      </c>
      <c r="K118" s="14">
        <f>MAX(0,CP118-CQ118-CR118-CU118)</f>
        <v/>
      </c>
      <c r="L118" s="10" t="n"/>
      <c r="M118" s="22">
        <f>IF(L118="",$B$18,L118)</f>
        <v/>
      </c>
      <c r="N118" s="13" t="n"/>
      <c r="O118" s="12">
        <f>(1+$B$17)^(A118-household!$B$4+1)</f>
        <v/>
      </c>
      <c r="P118" s="12">
        <f>(1+$B$17)^(A118-tax_tables!$B$4)</f>
        <v/>
      </c>
      <c r="Q118" s="12">
        <f>(1+$B$17)^(A118-tax_tables!$B$4-MAX(0,MIN(A118,tax_tables!$B$45)-tax_tables!$B$44+1))</f>
        <v/>
      </c>
      <c r="R118" s="12">
        <f>(1+$B$21)^(A118-household!$B$4+1)</f>
        <v/>
      </c>
      <c r="S118" s="12">
        <f>(1+$B$22)^(A118-household!$B$4+1)</f>
        <v/>
      </c>
      <c r="T118" s="12">
        <f>(1+$B$23)^(A118-household!$B$4+1)</f>
        <v/>
      </c>
      <c r="U118" s="21">
        <f>IF(A118&lt;$B$5,1,0)</f>
        <v/>
      </c>
      <c r="V118" s="21">
        <f>IF(A118&lt;$B$6,1,0)</f>
        <v/>
      </c>
      <c r="W118" s="21">
        <f>IF(U118+V118&gt;0,1,0)</f>
        <v/>
      </c>
      <c r="X118" s="14">
        <f>U118*$B$7*O118+SUMPRODUCT(($B$72:$B$77=A118)*($D$72:$D$77="Wages: person 1")*$C$72:$C$77)*O118</f>
        <v/>
      </c>
      <c r="Y118" s="14">
        <f>V118*$B$8*O118+SUMPRODUCT(($B$72:$B$77=A118)*($D$72:$D$77="Wages: person 2")*$C$72:$C$77)*O118</f>
        <v/>
      </c>
      <c r="Z118" s="14">
        <f>U118*$B$9*O118</f>
        <v/>
      </c>
      <c r="AA118" s="14">
        <f>V118*$B$10*O118</f>
        <v/>
      </c>
      <c r="AB118" s="14">
        <f>U118*$B$11*O118</f>
        <v/>
      </c>
      <c r="AC118" s="14">
        <f>V118*$B$12*O118</f>
        <v/>
      </c>
      <c r="AD118" s="14">
        <f>X118+Y118</f>
        <v/>
      </c>
      <c r="AE118" s="14">
        <f>AD118-Z118-AA118</f>
        <v/>
      </c>
      <c r="AF118" s="14">
        <f>tax_tables!$B$25*MAX(0,MIN(X118,tax_tables!$B$27*P118)-tax_tables!$B$26)+tax_tables!$B$28*MAX(0,MIN(X118,tax_tables!$B$29*P118)-tax_tables!$B$27*P118)+tax_tables!$B$30*MIN(X118,tax_tables!$B$31*P118)</f>
        <v/>
      </c>
      <c r="AG118" s="14">
        <f>tax_tables!$B$25*MAX(0,MIN(Y118,tax_tables!$B$27*P118)-tax_tables!$B$26)+tax_tables!$B$28*MAX(0,MIN(Y118,tax_tables!$B$29*P118)-tax_tables!$B$27*P118)+tax_tables!$B$30*MIN(Y118,tax_tables!$B$31*P118)</f>
        <v/>
      </c>
      <c r="AH118" s="14">
        <f>AF118+AG118</f>
        <v/>
      </c>
      <c r="AI118" s="14">
        <f>$B$13*AE118</f>
        <v/>
      </c>
      <c r="AJ118" s="14">
        <f>AD118-Z118-AA118-AH118-AI118</f>
        <v/>
      </c>
      <c r="AK118" s="14">
        <f>SUMPRODUCT(($B$72:$B$77=A118)*($D$72:$D$77="Other taxable income")*$C$72:$C$77)*O118</f>
        <v/>
      </c>
      <c r="AL118" s="14">
        <f>SUMPRODUCT(($B$72:$B$77=A118)*($D$72:$D$77="Tax-free money in")*$C$72:$C$77)*O118</f>
        <v/>
      </c>
      <c r="AM118" s="14">
        <f>SUMPRODUCT(($B$72:$B$77=A118)*($D$72:$D$77="Expense")*$C$72:$C$77)*O118</f>
        <v/>
      </c>
      <c r="AN118" s="21">
        <f>IF(OR($B$64="",A118&lt;$B$64),1,0)</f>
        <v/>
      </c>
      <c r="AO118" s="14">
        <f>AR117</f>
        <v/>
      </c>
      <c r="AP118" s="14">
        <f>AN118*AO118*properties!$J$2</f>
        <v/>
      </c>
      <c r="AQ118" s="14">
        <f>AN118*MIN(properties!$K$2,AO118+AP118)</f>
        <v/>
      </c>
      <c r="AR118" s="14">
        <f>AN118*(AO118+AP118-AQ118)</f>
        <v/>
      </c>
      <c r="AS118" s="14">
        <f>AN118*properties!$G$2*O118</f>
        <v/>
      </c>
      <c r="AT118" s="14">
        <f>(1-AN118)*$E$64*O118</f>
        <v/>
      </c>
      <c r="AU118" s="14">
        <f>AQ118+AS118+AT118</f>
        <v/>
      </c>
      <c r="AV118" s="14">
        <f>SUMIF(budget!$A$2:$A$300,"household",budget!$F$2:$F$300)*O118*IF(N118="",1,N118)</f>
        <v/>
      </c>
      <c r="AW118" s="14">
        <f>SUMPRODUCT((other_budget!$C$2:$C$30&lt;=A118)*(other_budget!$D$2:$D$30&gt;=A118)*other_budget!$B$2:$B$30)*O118</f>
        <v/>
      </c>
      <c r="AX118" s="14">
        <f>SUMPRODUCT((kids_budget!$D$2:$D$40&lt;=A118)*(kids_budget!$E$2:$E$40&gt;=A118)*(kids_budget!$G$2:$G$40&lt;&gt;"college_funds")*kids_budget!$C$2:$C$40*((kids_budget!$F$2:$F$40="college")*S118+(kids_budget!$F$2:$F$40&lt;&gt;"college")*O118))</f>
        <v/>
      </c>
      <c r="AY118" s="14">
        <f>SUMPRODUCT((kids_budget!$D$2:$D$40&lt;=A118)*(kids_budget!$E$2:$E$40&gt;=A118)*(kids_budget!$G$2:$G$40="college_funds")*kids_budget!$C$2:$C$40*((kids_budget!$F$2:$F$40="college")*S118+(kids_budget!$F$2:$F$40&lt;&gt;"college")*O118))</f>
        <v/>
      </c>
      <c r="AZ118" s="14">
        <f>BC117</f>
        <v/>
      </c>
      <c r="BA118" s="14">
        <f>MIN(AY118,AZ118*(1+M118))</f>
        <v/>
      </c>
      <c r="BB118" s="14">
        <f>AY118-BA118</f>
        <v/>
      </c>
      <c r="BC118" s="14">
        <f>AZ118*(1+M118)-BA118</f>
        <v/>
      </c>
      <c r="BD118" s="14">
        <f>W118*healthcare!$B$2*R118</f>
        <v/>
      </c>
      <c r="BE118" s="21">
        <f>(1-W118)*2</f>
        <v/>
      </c>
      <c r="BF118" s="14">
        <f>BE118*healthcare!$B$3*12*R118</f>
        <v/>
      </c>
      <c r="BG118" s="14">
        <f>BE118*healthcare!$B$4*R118</f>
        <v/>
      </c>
      <c r="BH118" s="21">
        <f>AND(B118&gt;=$B$44,B118&lt;$B$44+$B$45)*1+AND(C118&gt;=$B$46,C118&lt;$B$46+$B$47)*1</f>
        <v/>
      </c>
      <c r="BI118" s="14">
        <f>BH118*$B$48*T118</f>
        <v/>
      </c>
      <c r="BJ118" s="14">
        <f>BD118+BF118+BG118+BI118</f>
        <v/>
      </c>
      <c r="BK118" s="14">
        <f>SUMPRODUCT((1-($B$65:$B$68&gt;0)*(A118&gt;=$B$65:$B$68))*(1-(($C$65:$C$68&gt;0)*(A118&gt;=$C$65:$C$68)))*(properties!$L$3:$L$6-properties!$M$3:$M$6))*O118+SUMPRODUCT((1-($B$65:$B$68&gt;0)*(A118&gt;=$B$65:$B$68))*(($C$65:$C$68&gt;0)*(A118&gt;=$C$65:$C$68))*($D$65:$D$68-$E$65:$E$68))*O118</f>
        <v/>
      </c>
      <c r="BL118" s="14">
        <f>SUMPRODUCT((1-($B$65:$B$68&gt;0)*(A118&gt;=$B$65:$B$68))*properties!$N$3:$N$6*(A118&lt;=properties!$O$3:$O$6))</f>
        <v/>
      </c>
      <c r="BM118" s="14">
        <f>MAX(0,BK118-BL118)</f>
        <v/>
      </c>
      <c r="BN118" s="14">
        <f>SUMPRODUCT(($B$64:$B$68=A118)*$G$64:$G$68)</f>
        <v/>
      </c>
      <c r="BO118" s="14">
        <f>SUMPRODUCT(($B$64:$B$68=A118)*$H$64:$H$68)</f>
        <v/>
      </c>
      <c r="BP118" s="14">
        <f>SUMPRODUCT(($B$64:$B$68=A118)*$I$64:$I$68)</f>
        <v/>
      </c>
      <c r="BQ118" s="14">
        <f>AN118*properties!$C$2*(1+properties!$D$2)^(A118-household!$B$4+1)</f>
        <v/>
      </c>
      <c r="BR118" s="14">
        <f>SUMPRODUCT((1-($B$65:$B$68&gt;0)*(A118&gt;=$B$65:$B$68))*properties!$C$3:$C$6*(1+properties!$D$3:$D$6)^(A118-household!$B$4+1))</f>
        <v/>
      </c>
      <c r="BS118" s="14">
        <f>IF(A118&gt;=household!$B$6+$B$26,household!$B$11*12*$B$30*O118,0)</f>
        <v/>
      </c>
      <c r="BT118" s="14">
        <f>IF(A118&gt;=household!$B$9+$B$27,household!$B$12*12*$B$31*O118,0)</f>
        <v/>
      </c>
      <c r="BU118" s="14">
        <f>IF(A118&gt;=household!$B$6+$B$28,tax_tables!$B$19*12*P118*MIN(1,household!$B$13/40)*$B$32*(1+tax_tables!$B$20*(B118&gt;=75)),0)</f>
        <v/>
      </c>
      <c r="BV118" s="14">
        <f>IF(A118&gt;=household!$B$9+$B$29,tax_tables!$B$19*12*P118*MIN(1,household!$B$14/40)*$B$33*(1+tax_tables!$B$20*(C118&gt;=75)),0)</f>
        <v/>
      </c>
      <c r="BW118" s="14">
        <f>IF(AND($B$36&lt;&gt;0,A118&gt;=household!$B$6+$B$37),$B$36*(1+$B$17)^(MAX(household!$B$6+$B$37,household!$B$4-1)-household!$B$4+1)*(1+$B$40*$B$17)^(A118-MAX(household!$B$6+$B$37,household!$B$4-1)),0)</f>
        <v/>
      </c>
      <c r="BX118" s="14">
        <f>IF(AND($B$38&lt;&gt;0,A118&gt;=household!$B$9+$B$39),$B$38*(1+$B$17)^(MAX(household!$B$9+$B$39,household!$B$4-1)-household!$B$4+1)*(1+$B$40*$B$17)^(A118-MAX(household!$B$9+$B$39,household!$B$4-1)),0)</f>
        <v/>
      </c>
      <c r="BY118" s="14">
        <f>CZ117</f>
        <v/>
      </c>
      <c r="BZ118" s="14">
        <f>DA117</f>
        <v/>
      </c>
      <c r="CA118" s="14">
        <f>$B$19*BY118</f>
        <v/>
      </c>
      <c r="CB118" s="14">
        <f>DB117</f>
        <v/>
      </c>
      <c r="CC118" s="14">
        <f>DC117</f>
        <v/>
      </c>
      <c r="CD118" s="14">
        <f>IF(B118&gt;=tax_tables!$B$46,MAX(0,CB118)*INDEX(tax_tables!$N$5:$N$54,MATCH(MIN(B118-1,120),tax_tables!$M$5:$M$54,0)),0)</f>
        <v/>
      </c>
      <c r="CE118" s="14">
        <f>IF(C118&gt;=tax_tables!$B$46,MAX(0,CC118)*INDEX(tax_tables!$N$5:$N$54,MATCH(MIN(C118-1,120),tax_tables!$M$5:$M$54,0)),0)</f>
        <v/>
      </c>
      <c r="CF118" s="14">
        <f>DD117</f>
        <v/>
      </c>
      <c r="CG118" s="14">
        <f>IF(OR($B$52="",$B$53=""),0,IF(AND(A118&gt;=$B$52,A118&lt;=$B$53),$B$51*O118,0))</f>
        <v/>
      </c>
      <c r="CH118" s="14">
        <f>MAX(0,CB118*(1+M118)-CD118)</f>
        <v/>
      </c>
      <c r="CI118" s="14">
        <f>MAX(0,CC118*(1+M118)-CE118)</f>
        <v/>
      </c>
      <c r="CJ118" s="14">
        <f>MIN(CG118,CH118+CI118)</f>
        <v/>
      </c>
      <c r="CK118" s="14">
        <f>IF(CH118+CI118&gt;1,CJ118*CH118/(CH118+CI118),0)</f>
        <v/>
      </c>
      <c r="CL118" s="14">
        <f>CJ118-CK118</f>
        <v/>
      </c>
      <c r="CM118" s="14">
        <f>CM117-CW117+CU117+tax_tables!$B$32*P118*2</f>
        <v/>
      </c>
      <c r="CN118" s="14">
        <f>EC117-AI117</f>
        <v/>
      </c>
      <c r="CO118" s="14">
        <f>AJ118+F118+BW118+BX118+BK118+CA118+CD118+CE118+BN118+AK118+AL118+CJ118</f>
        <v/>
      </c>
      <c r="CP118" s="14">
        <f>D118+CN118-CO118</f>
        <v/>
      </c>
      <c r="CQ118" s="14">
        <f>MAX(0,MIN(CP118,BY118*(1+M118-$B$19)))</f>
        <v/>
      </c>
      <c r="CR118" s="14">
        <f>MAX(0,MIN(CP118-CQ118,(CH118-CK118)+(CI118-CL118)))</f>
        <v/>
      </c>
      <c r="CS118" s="14">
        <f>IF((CH118-CK118)+(CI118-CL118)&gt;1,CR118*(CH118-CK118)/((CH118-CK118)+(CI118-CL118)),0)</f>
        <v/>
      </c>
      <c r="CT118" s="14">
        <f>CR118-CS118</f>
        <v/>
      </c>
      <c r="CU118" s="14">
        <f>MAX(0,MIN(CP118-CQ118-CR118,CF118*(1+M118)))</f>
        <v/>
      </c>
      <c r="CV118" s="14">
        <f>MAX(0,-CP118)</f>
        <v/>
      </c>
      <c r="CW118" s="14">
        <f>MIN(CV118,MAX(0,CM118))</f>
        <v/>
      </c>
      <c r="CX118" s="22">
        <f>IF(BY118&gt;0,MAX(0,1-BZ118/BY118),0)</f>
        <v/>
      </c>
      <c r="CY118" s="14">
        <f>CQ118*CX118</f>
        <v/>
      </c>
      <c r="CZ118" s="14">
        <f>BY118*(1+M118-$B$19)-CQ118+(CV118-CW118)</f>
        <v/>
      </c>
      <c r="DA118" s="14">
        <f>BZ118-(CQ118-CY118)+(CV118-CW118)</f>
        <v/>
      </c>
      <c r="DB118" s="14">
        <f>CB118*(1+M118)-CD118-CS118-CK118+Z118+AB118</f>
        <v/>
      </c>
      <c r="DC118" s="14">
        <f>CC118*(1+M118)-CE118-CT118-CL118+AA118+AC118</f>
        <v/>
      </c>
      <c r="DD118" s="14">
        <f>CF118*(1+M118)-CU118+CW118</f>
        <v/>
      </c>
      <c r="DE118" s="14">
        <f>CD118+CK118+CS118</f>
        <v/>
      </c>
      <c r="DF118" s="14">
        <f>CA118*household!$B$15*$B$20*(1+tax_tables!$B$17)</f>
        <v/>
      </c>
      <c r="DG118" s="14">
        <f>X118+BS118+BU118+BW118+DE118+DF118+CA118*household!$B$15*(1-$B$20)+(CY118+BO118)*household!$B$15*tax_tables!$B$18+(BP118+BM118+AK118)*household!$B$15-Z118</f>
        <v/>
      </c>
      <c r="DH118" s="14">
        <f>CE118+CL118+CT118</f>
        <v/>
      </c>
      <c r="DI118" s="14">
        <f>CA118*(1-household!$B$15)*$B$20*(1+tax_tables!$B$17)</f>
        <v/>
      </c>
      <c r="DJ118" s="14">
        <f>Y118+BT118+BV118+BX118+DH118+DI118+CA118*(1-household!$B$15)*(1-$B$20)+(CY118+BO118)*(1-household!$B$15)*tax_tables!$B$18+(BP118+BM118+AK118)*(1-household!$B$15)-AA118</f>
        <v/>
      </c>
      <c r="DK118" s="14">
        <f>IF((DG118&gt;=DJ118),MIN(0.5*(BW118+IF(B118&gt;=65,DE118,0)),MAX(0,(DG118-DJ118)/2)),MIN(0.5*(BX118+IF(C118&gt;=65,DH118,0)),MAX(0,(DJ118-DG118)/2)))</f>
        <v/>
      </c>
      <c r="DL118" s="14">
        <f>DG118+IF((DG118&gt;=DJ118),-DK118,DK118)</f>
        <v/>
      </c>
      <c r="DM118" s="14">
        <f>BW118+IF(B118&gt;=65,DE118,0)+IF((DG118&gt;=DJ118),-DK118,DK118)</f>
        <v/>
      </c>
      <c r="DN118" s="14">
        <f>MIN(BU118,tax_tables!$B$22*MAX(0,DL118-tax_tables!$B$21*P118))</f>
        <v/>
      </c>
      <c r="DO118" s="14">
        <f>MAX(0,DL118-DN118)</f>
        <v/>
      </c>
      <c r="DP118" s="14">
        <f>DJ118+IF((DG118&gt;=DJ118),DK118,-DK118)</f>
        <v/>
      </c>
      <c r="DQ118" s="14">
        <f>BX118+IF(C118&gt;=65,DH118,0)+IF((DG118&gt;=DJ118),DK118,-DK118)</f>
        <v/>
      </c>
      <c r="DR118" s="14">
        <f>MIN(BV118,tax_tables!$B$22*MAX(0,DP118-tax_tables!$B$21*P118))</f>
        <v/>
      </c>
      <c r="DS118" s="14">
        <f>MAX(0,DP118-DR118)</f>
        <v/>
      </c>
      <c r="DT118" s="14">
        <f>BJ118-BD118</f>
        <v/>
      </c>
      <c r="DU118" s="14">
        <f>(tax_tables!$B$6-(tax_tables!$B$6-tax_tables!$B$7)*MIN(1,MAX(0,(DL118-tax_tables!$B$8*P118)/((tax_tables!$B$9-tax_tables!$B$8)*P118))))*P118+(B118&gt;=65)*MAX(0,tax_tables!$B$10*P118-tax_tables!$B$12*MAX(0,DL118-tax_tables!$B$11*P118))+MIN(tax_tables!$B$13,DM118)+MIN(tax_tables!$B$14*P118,X118)+AF118+(DL118&lt;=DP118)*MAX(0,DT118-MIN(0.03*DL118,tax_tables!$B$15*P118))</f>
        <v/>
      </c>
      <c r="DV118" s="14">
        <f>MAX(0,SUMPRODUCT((DO118&gt;tax_tables!$E$5:$E$16*P118)*(DO118-tax_tables!$E$5:$E$16*P118)*tax_tables!$G$5:$G$16)-tax_tables!$B$5*DU118-tax_tables!$B$16*DF118)</f>
        <v/>
      </c>
      <c r="DW118" s="14">
        <f>tax_tables!$B$35*Q118+(B118&gt;=65)*MAX(0,tax_tables!$B$36*Q118-tax_tables!$B$12*MAX(0,DL118-tax_tables!$B$37*Q118))+MIN(tax_tables!$B$38,DM118)+AF118+(DL118&lt;=DP118)*MAX(0,DT118-MIN(0.03*DL118,tax_tables!$B$39*Q118))</f>
        <v/>
      </c>
      <c r="DX118" s="14">
        <f>MAX(0,SUMPRODUCT((DO118&gt;tax_tables!$I$5:$I$16*Q118)*(DO118-tax_tables!$I$5:$I$16*Q118)*tax_tables!$K$5:$K$16)-tax_tables!$B$34*DW118-tax_tables!$B$40*DF118-MAX(0,tax_tables!$B$41*Q118-tax_tables!$B$43*MAX(0,DL118-tax_tables!$B$42*Q118)))</f>
        <v/>
      </c>
      <c r="DY118" s="14">
        <f>(tax_tables!$B$6-(tax_tables!$B$6-tax_tables!$B$7)*MIN(1,MAX(0,(DP118-tax_tables!$B$8*P118)/((tax_tables!$B$9-tax_tables!$B$8)*P118))))*P118+(C118&gt;=65)*MAX(0,tax_tables!$B$10*P118-tax_tables!$B$12*MAX(0,DP118-tax_tables!$B$11*P118))+MIN(tax_tables!$B$13,DQ118)+MIN(tax_tables!$B$14*P118,Y118)+AG118+(DL118&gt;DP118)*MAX(0,DT118-MIN(0.03*DP118,tax_tables!$B$15*P118))</f>
        <v/>
      </c>
      <c r="DZ118" s="14">
        <f>MAX(0,SUMPRODUCT((DS118&gt;tax_tables!$E$5:$E$16*P118)*(DS118-tax_tables!$E$5:$E$16*P118)*tax_tables!$G$5:$G$16)-tax_tables!$B$5*DY118-tax_tables!$B$16*DI118)</f>
        <v/>
      </c>
      <c r="EA118" s="14">
        <f>tax_tables!$B$35*Q118+(C118&gt;=65)*MAX(0,tax_tables!$B$36*Q118-tax_tables!$B$12*MAX(0,DP118-tax_tables!$B$37*Q118))+MIN(tax_tables!$B$38,DQ118)+AG118+(DL118&gt;DP118)*MAX(0,DT118-MIN(0.03*DP118,tax_tables!$B$39*Q118))</f>
        <v/>
      </c>
      <c r="EB118" s="14">
        <f>MAX(0,SUMPRODUCT((DS118&gt;tax_tables!$I$5:$I$16*Q118)*(DS118-tax_tables!$I$5:$I$16*Q118)*tax_tables!$K$5:$K$16)-tax_tables!$B$34*EA118-tax_tables!$B$40*DI118-MAX(0,tax_tables!$B$41*Q118-tax_tables!$B$43*MAX(0,DP118-tax_tables!$B$42*Q118)))</f>
        <v/>
      </c>
      <c r="EC118" s="14">
        <f>DV118+DZ118+DX118+EB118+DN118+DR118</f>
        <v/>
      </c>
      <c r="ED118" s="14">
        <f>CZ118+DB118+DC118+DD118</f>
        <v/>
      </c>
      <c r="EE118" s="14">
        <f>ED118+BQ118-AR118+BR118</f>
        <v/>
      </c>
    </row>
    <row r="119">
      <c r="A119" s="21">
        <f>A118+1</f>
        <v/>
      </c>
      <c r="B119" s="21">
        <f>A119-household!$B$6</f>
        <v/>
      </c>
      <c r="C119" s="21">
        <f>A119-household!$B$9</f>
        <v/>
      </c>
      <c r="D119" s="14">
        <f>AU119+AV119+AW119+AX119+BB119+BJ119+AM119</f>
        <v/>
      </c>
      <c r="E119" s="14">
        <f>CN119+AI119+AH119</f>
        <v/>
      </c>
      <c r="F119" s="14">
        <f>BS119+BT119+BU119+BV119</f>
        <v/>
      </c>
      <c r="G119" s="14">
        <f>CQ119+CR119+CU119+CD119+CE119+CA119-CV119+CJ119+CW119</f>
        <v/>
      </c>
      <c r="H119" s="22">
        <f>IF(BY119+CB119+CC119+CF119&lt;=0,"",G119/(BY119+CB119+CC119+CF119))</f>
        <v/>
      </c>
      <c r="I119" s="23">
        <f>ED119/O119</f>
        <v/>
      </c>
      <c r="J119" s="23">
        <f>EE119/O119</f>
        <v/>
      </c>
      <c r="K119" s="14">
        <f>MAX(0,CP119-CQ119-CR119-CU119)</f>
        <v/>
      </c>
      <c r="L119" s="10" t="n"/>
      <c r="M119" s="22">
        <f>IF(L119="",$B$18,L119)</f>
        <v/>
      </c>
      <c r="N119" s="13" t="n"/>
      <c r="O119" s="12">
        <f>(1+$B$17)^(A119-household!$B$4+1)</f>
        <v/>
      </c>
      <c r="P119" s="12">
        <f>(1+$B$17)^(A119-tax_tables!$B$4)</f>
        <v/>
      </c>
      <c r="Q119" s="12">
        <f>(1+$B$17)^(A119-tax_tables!$B$4-MAX(0,MIN(A119,tax_tables!$B$45)-tax_tables!$B$44+1))</f>
        <v/>
      </c>
      <c r="R119" s="12">
        <f>(1+$B$21)^(A119-household!$B$4+1)</f>
        <v/>
      </c>
      <c r="S119" s="12">
        <f>(1+$B$22)^(A119-household!$B$4+1)</f>
        <v/>
      </c>
      <c r="T119" s="12">
        <f>(1+$B$23)^(A119-household!$B$4+1)</f>
        <v/>
      </c>
      <c r="U119" s="21">
        <f>IF(A119&lt;$B$5,1,0)</f>
        <v/>
      </c>
      <c r="V119" s="21">
        <f>IF(A119&lt;$B$6,1,0)</f>
        <v/>
      </c>
      <c r="W119" s="21">
        <f>IF(U119+V119&gt;0,1,0)</f>
        <v/>
      </c>
      <c r="X119" s="14">
        <f>U119*$B$7*O119+SUMPRODUCT(($B$72:$B$77=A119)*($D$72:$D$77="Wages: person 1")*$C$72:$C$77)*O119</f>
        <v/>
      </c>
      <c r="Y119" s="14">
        <f>V119*$B$8*O119+SUMPRODUCT(($B$72:$B$77=A119)*($D$72:$D$77="Wages: person 2")*$C$72:$C$77)*O119</f>
        <v/>
      </c>
      <c r="Z119" s="14">
        <f>U119*$B$9*O119</f>
        <v/>
      </c>
      <c r="AA119" s="14">
        <f>V119*$B$10*O119</f>
        <v/>
      </c>
      <c r="AB119" s="14">
        <f>U119*$B$11*O119</f>
        <v/>
      </c>
      <c r="AC119" s="14">
        <f>V119*$B$12*O119</f>
        <v/>
      </c>
      <c r="AD119" s="14">
        <f>X119+Y119</f>
        <v/>
      </c>
      <c r="AE119" s="14">
        <f>AD119-Z119-AA119</f>
        <v/>
      </c>
      <c r="AF119" s="14">
        <f>tax_tables!$B$25*MAX(0,MIN(X119,tax_tables!$B$27*P119)-tax_tables!$B$26)+tax_tables!$B$28*MAX(0,MIN(X119,tax_tables!$B$29*P119)-tax_tables!$B$27*P119)+tax_tables!$B$30*MIN(X119,tax_tables!$B$31*P119)</f>
        <v/>
      </c>
      <c r="AG119" s="14">
        <f>tax_tables!$B$25*MAX(0,MIN(Y119,tax_tables!$B$27*P119)-tax_tables!$B$26)+tax_tables!$B$28*MAX(0,MIN(Y119,tax_tables!$B$29*P119)-tax_tables!$B$27*P119)+tax_tables!$B$30*MIN(Y119,tax_tables!$B$31*P119)</f>
        <v/>
      </c>
      <c r="AH119" s="14">
        <f>AF119+AG119</f>
        <v/>
      </c>
      <c r="AI119" s="14">
        <f>$B$13*AE119</f>
        <v/>
      </c>
      <c r="AJ119" s="14">
        <f>AD119-Z119-AA119-AH119-AI119</f>
        <v/>
      </c>
      <c r="AK119" s="14">
        <f>SUMPRODUCT(($B$72:$B$77=A119)*($D$72:$D$77="Other taxable income")*$C$72:$C$77)*O119</f>
        <v/>
      </c>
      <c r="AL119" s="14">
        <f>SUMPRODUCT(($B$72:$B$77=A119)*($D$72:$D$77="Tax-free money in")*$C$72:$C$77)*O119</f>
        <v/>
      </c>
      <c r="AM119" s="14">
        <f>SUMPRODUCT(($B$72:$B$77=A119)*($D$72:$D$77="Expense")*$C$72:$C$77)*O119</f>
        <v/>
      </c>
      <c r="AN119" s="21">
        <f>IF(OR($B$64="",A119&lt;$B$64),1,0)</f>
        <v/>
      </c>
      <c r="AO119" s="14">
        <f>AR118</f>
        <v/>
      </c>
      <c r="AP119" s="14">
        <f>AN119*AO119*properties!$J$2</f>
        <v/>
      </c>
      <c r="AQ119" s="14">
        <f>AN119*MIN(properties!$K$2,AO119+AP119)</f>
        <v/>
      </c>
      <c r="AR119" s="14">
        <f>AN119*(AO119+AP119-AQ119)</f>
        <v/>
      </c>
      <c r="AS119" s="14">
        <f>AN119*properties!$G$2*O119</f>
        <v/>
      </c>
      <c r="AT119" s="14">
        <f>(1-AN119)*$E$64*O119</f>
        <v/>
      </c>
      <c r="AU119" s="14">
        <f>AQ119+AS119+AT119</f>
        <v/>
      </c>
      <c r="AV119" s="14">
        <f>SUMIF(budget!$A$2:$A$300,"household",budget!$F$2:$F$300)*O119*IF(N119="",1,N119)</f>
        <v/>
      </c>
      <c r="AW119" s="14">
        <f>SUMPRODUCT((other_budget!$C$2:$C$30&lt;=A119)*(other_budget!$D$2:$D$30&gt;=A119)*other_budget!$B$2:$B$30)*O119</f>
        <v/>
      </c>
      <c r="AX119" s="14">
        <f>SUMPRODUCT((kids_budget!$D$2:$D$40&lt;=A119)*(kids_budget!$E$2:$E$40&gt;=A119)*(kids_budget!$G$2:$G$40&lt;&gt;"college_funds")*kids_budget!$C$2:$C$40*((kids_budget!$F$2:$F$40="college")*S119+(kids_budget!$F$2:$F$40&lt;&gt;"college")*O119))</f>
        <v/>
      </c>
      <c r="AY119" s="14">
        <f>SUMPRODUCT((kids_budget!$D$2:$D$40&lt;=A119)*(kids_budget!$E$2:$E$40&gt;=A119)*(kids_budget!$G$2:$G$40="college_funds")*kids_budget!$C$2:$C$40*((kids_budget!$F$2:$F$40="college")*S119+(kids_budget!$F$2:$F$40&lt;&gt;"college")*O119))</f>
        <v/>
      </c>
      <c r="AZ119" s="14">
        <f>BC118</f>
        <v/>
      </c>
      <c r="BA119" s="14">
        <f>MIN(AY119,AZ119*(1+M119))</f>
        <v/>
      </c>
      <c r="BB119" s="14">
        <f>AY119-BA119</f>
        <v/>
      </c>
      <c r="BC119" s="14">
        <f>AZ119*(1+M119)-BA119</f>
        <v/>
      </c>
      <c r="BD119" s="14">
        <f>W119*healthcare!$B$2*R119</f>
        <v/>
      </c>
      <c r="BE119" s="21">
        <f>(1-W119)*2</f>
        <v/>
      </c>
      <c r="BF119" s="14">
        <f>BE119*healthcare!$B$3*12*R119</f>
        <v/>
      </c>
      <c r="BG119" s="14">
        <f>BE119*healthcare!$B$4*R119</f>
        <v/>
      </c>
      <c r="BH119" s="21">
        <f>AND(B119&gt;=$B$44,B119&lt;$B$44+$B$45)*1+AND(C119&gt;=$B$46,C119&lt;$B$46+$B$47)*1</f>
        <v/>
      </c>
      <c r="BI119" s="14">
        <f>BH119*$B$48*T119</f>
        <v/>
      </c>
      <c r="BJ119" s="14">
        <f>BD119+BF119+BG119+BI119</f>
        <v/>
      </c>
      <c r="BK119" s="14">
        <f>SUMPRODUCT((1-($B$65:$B$68&gt;0)*(A119&gt;=$B$65:$B$68))*(1-(($C$65:$C$68&gt;0)*(A119&gt;=$C$65:$C$68)))*(properties!$L$3:$L$6-properties!$M$3:$M$6))*O119+SUMPRODUCT((1-($B$65:$B$68&gt;0)*(A119&gt;=$B$65:$B$68))*(($C$65:$C$68&gt;0)*(A119&gt;=$C$65:$C$68))*($D$65:$D$68-$E$65:$E$68))*O119</f>
        <v/>
      </c>
      <c r="BL119" s="14">
        <f>SUMPRODUCT((1-($B$65:$B$68&gt;0)*(A119&gt;=$B$65:$B$68))*properties!$N$3:$N$6*(A119&lt;=properties!$O$3:$O$6))</f>
        <v/>
      </c>
      <c r="BM119" s="14">
        <f>MAX(0,BK119-BL119)</f>
        <v/>
      </c>
      <c r="BN119" s="14">
        <f>SUMPRODUCT(($B$64:$B$68=A119)*$G$64:$G$68)</f>
        <v/>
      </c>
      <c r="BO119" s="14">
        <f>SUMPRODUCT(($B$64:$B$68=A119)*$H$64:$H$68)</f>
        <v/>
      </c>
      <c r="BP119" s="14">
        <f>SUMPRODUCT(($B$64:$B$68=A119)*$I$64:$I$68)</f>
        <v/>
      </c>
      <c r="BQ119" s="14">
        <f>AN119*properties!$C$2*(1+properties!$D$2)^(A119-household!$B$4+1)</f>
        <v/>
      </c>
      <c r="BR119" s="14">
        <f>SUMPRODUCT((1-($B$65:$B$68&gt;0)*(A119&gt;=$B$65:$B$68))*properties!$C$3:$C$6*(1+properties!$D$3:$D$6)^(A119-household!$B$4+1))</f>
        <v/>
      </c>
      <c r="BS119" s="14">
        <f>IF(A119&gt;=household!$B$6+$B$26,household!$B$11*12*$B$30*O119,0)</f>
        <v/>
      </c>
      <c r="BT119" s="14">
        <f>IF(A119&gt;=household!$B$9+$B$27,household!$B$12*12*$B$31*O119,0)</f>
        <v/>
      </c>
      <c r="BU119" s="14">
        <f>IF(A119&gt;=household!$B$6+$B$28,tax_tables!$B$19*12*P119*MIN(1,household!$B$13/40)*$B$32*(1+tax_tables!$B$20*(B119&gt;=75)),0)</f>
        <v/>
      </c>
      <c r="BV119" s="14">
        <f>IF(A119&gt;=household!$B$9+$B$29,tax_tables!$B$19*12*P119*MIN(1,household!$B$14/40)*$B$33*(1+tax_tables!$B$20*(C119&gt;=75)),0)</f>
        <v/>
      </c>
      <c r="BW119" s="14">
        <f>IF(AND($B$36&lt;&gt;0,A119&gt;=household!$B$6+$B$37),$B$36*(1+$B$17)^(MAX(household!$B$6+$B$37,household!$B$4-1)-household!$B$4+1)*(1+$B$40*$B$17)^(A119-MAX(household!$B$6+$B$37,household!$B$4-1)),0)</f>
        <v/>
      </c>
      <c r="BX119" s="14">
        <f>IF(AND($B$38&lt;&gt;0,A119&gt;=household!$B$9+$B$39),$B$38*(1+$B$17)^(MAX(household!$B$9+$B$39,household!$B$4-1)-household!$B$4+1)*(1+$B$40*$B$17)^(A119-MAX(household!$B$9+$B$39,household!$B$4-1)),0)</f>
        <v/>
      </c>
      <c r="BY119" s="14">
        <f>CZ118</f>
        <v/>
      </c>
      <c r="BZ119" s="14">
        <f>DA118</f>
        <v/>
      </c>
      <c r="CA119" s="14">
        <f>$B$19*BY119</f>
        <v/>
      </c>
      <c r="CB119" s="14">
        <f>DB118</f>
        <v/>
      </c>
      <c r="CC119" s="14">
        <f>DC118</f>
        <v/>
      </c>
      <c r="CD119" s="14">
        <f>IF(B119&gt;=tax_tables!$B$46,MAX(0,CB119)*INDEX(tax_tables!$N$5:$N$54,MATCH(MIN(B119-1,120),tax_tables!$M$5:$M$54,0)),0)</f>
        <v/>
      </c>
      <c r="CE119" s="14">
        <f>IF(C119&gt;=tax_tables!$B$46,MAX(0,CC119)*INDEX(tax_tables!$N$5:$N$54,MATCH(MIN(C119-1,120),tax_tables!$M$5:$M$54,0)),0)</f>
        <v/>
      </c>
      <c r="CF119" s="14">
        <f>DD118</f>
        <v/>
      </c>
      <c r="CG119" s="14">
        <f>IF(OR($B$52="",$B$53=""),0,IF(AND(A119&gt;=$B$52,A119&lt;=$B$53),$B$51*O119,0))</f>
        <v/>
      </c>
      <c r="CH119" s="14">
        <f>MAX(0,CB119*(1+M119)-CD119)</f>
        <v/>
      </c>
      <c r="CI119" s="14">
        <f>MAX(0,CC119*(1+M119)-CE119)</f>
        <v/>
      </c>
      <c r="CJ119" s="14">
        <f>MIN(CG119,CH119+CI119)</f>
        <v/>
      </c>
      <c r="CK119" s="14">
        <f>IF(CH119+CI119&gt;1,CJ119*CH119/(CH119+CI119),0)</f>
        <v/>
      </c>
      <c r="CL119" s="14">
        <f>CJ119-CK119</f>
        <v/>
      </c>
      <c r="CM119" s="14">
        <f>CM118-CW118+CU118+tax_tables!$B$32*P119*2</f>
        <v/>
      </c>
      <c r="CN119" s="14">
        <f>EC118-AI118</f>
        <v/>
      </c>
      <c r="CO119" s="14">
        <f>AJ119+F119+BW119+BX119+BK119+CA119+CD119+CE119+BN119+AK119+AL119+CJ119</f>
        <v/>
      </c>
      <c r="CP119" s="14">
        <f>D119+CN119-CO119</f>
        <v/>
      </c>
      <c r="CQ119" s="14">
        <f>MAX(0,MIN(CP119,BY119*(1+M119-$B$19)))</f>
        <v/>
      </c>
      <c r="CR119" s="14">
        <f>MAX(0,MIN(CP119-CQ119,(CH119-CK119)+(CI119-CL119)))</f>
        <v/>
      </c>
      <c r="CS119" s="14">
        <f>IF((CH119-CK119)+(CI119-CL119)&gt;1,CR119*(CH119-CK119)/((CH119-CK119)+(CI119-CL119)),0)</f>
        <v/>
      </c>
      <c r="CT119" s="14">
        <f>CR119-CS119</f>
        <v/>
      </c>
      <c r="CU119" s="14">
        <f>MAX(0,MIN(CP119-CQ119-CR119,CF119*(1+M119)))</f>
        <v/>
      </c>
      <c r="CV119" s="14">
        <f>MAX(0,-CP119)</f>
        <v/>
      </c>
      <c r="CW119" s="14">
        <f>MIN(CV119,MAX(0,CM119))</f>
        <v/>
      </c>
      <c r="CX119" s="22">
        <f>IF(BY119&gt;0,MAX(0,1-BZ119/BY119),0)</f>
        <v/>
      </c>
      <c r="CY119" s="14">
        <f>CQ119*CX119</f>
        <v/>
      </c>
      <c r="CZ119" s="14">
        <f>BY119*(1+M119-$B$19)-CQ119+(CV119-CW119)</f>
        <v/>
      </c>
      <c r="DA119" s="14">
        <f>BZ119-(CQ119-CY119)+(CV119-CW119)</f>
        <v/>
      </c>
      <c r="DB119" s="14">
        <f>CB119*(1+M119)-CD119-CS119-CK119+Z119+AB119</f>
        <v/>
      </c>
      <c r="DC119" s="14">
        <f>CC119*(1+M119)-CE119-CT119-CL119+AA119+AC119</f>
        <v/>
      </c>
      <c r="DD119" s="14">
        <f>CF119*(1+M119)-CU119+CW119</f>
        <v/>
      </c>
      <c r="DE119" s="14">
        <f>CD119+CK119+CS119</f>
        <v/>
      </c>
      <c r="DF119" s="14">
        <f>CA119*household!$B$15*$B$20*(1+tax_tables!$B$17)</f>
        <v/>
      </c>
      <c r="DG119" s="14">
        <f>X119+BS119+BU119+BW119+DE119+DF119+CA119*household!$B$15*(1-$B$20)+(CY119+BO119)*household!$B$15*tax_tables!$B$18+(BP119+BM119+AK119)*household!$B$15-Z119</f>
        <v/>
      </c>
      <c r="DH119" s="14">
        <f>CE119+CL119+CT119</f>
        <v/>
      </c>
      <c r="DI119" s="14">
        <f>CA119*(1-household!$B$15)*$B$20*(1+tax_tables!$B$17)</f>
        <v/>
      </c>
      <c r="DJ119" s="14">
        <f>Y119+BT119+BV119+BX119+DH119+DI119+CA119*(1-household!$B$15)*(1-$B$20)+(CY119+BO119)*(1-household!$B$15)*tax_tables!$B$18+(BP119+BM119+AK119)*(1-household!$B$15)-AA119</f>
        <v/>
      </c>
      <c r="DK119" s="14">
        <f>IF((DG119&gt;=DJ119),MIN(0.5*(BW119+IF(B119&gt;=65,DE119,0)),MAX(0,(DG119-DJ119)/2)),MIN(0.5*(BX119+IF(C119&gt;=65,DH119,0)),MAX(0,(DJ119-DG119)/2)))</f>
        <v/>
      </c>
      <c r="DL119" s="14">
        <f>DG119+IF((DG119&gt;=DJ119),-DK119,DK119)</f>
        <v/>
      </c>
      <c r="DM119" s="14">
        <f>BW119+IF(B119&gt;=65,DE119,0)+IF((DG119&gt;=DJ119),-DK119,DK119)</f>
        <v/>
      </c>
      <c r="DN119" s="14">
        <f>MIN(BU119,tax_tables!$B$22*MAX(0,DL119-tax_tables!$B$21*P119))</f>
        <v/>
      </c>
      <c r="DO119" s="14">
        <f>MAX(0,DL119-DN119)</f>
        <v/>
      </c>
      <c r="DP119" s="14">
        <f>DJ119+IF((DG119&gt;=DJ119),DK119,-DK119)</f>
        <v/>
      </c>
      <c r="DQ119" s="14">
        <f>BX119+IF(C119&gt;=65,DH119,0)+IF((DG119&gt;=DJ119),DK119,-DK119)</f>
        <v/>
      </c>
      <c r="DR119" s="14">
        <f>MIN(BV119,tax_tables!$B$22*MAX(0,DP119-tax_tables!$B$21*P119))</f>
        <v/>
      </c>
      <c r="DS119" s="14">
        <f>MAX(0,DP119-DR119)</f>
        <v/>
      </c>
      <c r="DT119" s="14">
        <f>BJ119-BD119</f>
        <v/>
      </c>
      <c r="DU119" s="14">
        <f>(tax_tables!$B$6-(tax_tables!$B$6-tax_tables!$B$7)*MIN(1,MAX(0,(DL119-tax_tables!$B$8*P119)/((tax_tables!$B$9-tax_tables!$B$8)*P119))))*P119+(B119&gt;=65)*MAX(0,tax_tables!$B$10*P119-tax_tables!$B$12*MAX(0,DL119-tax_tables!$B$11*P119))+MIN(tax_tables!$B$13,DM119)+MIN(tax_tables!$B$14*P119,X119)+AF119+(DL119&lt;=DP119)*MAX(0,DT119-MIN(0.03*DL119,tax_tables!$B$15*P119))</f>
        <v/>
      </c>
      <c r="DV119" s="14">
        <f>MAX(0,SUMPRODUCT((DO119&gt;tax_tables!$E$5:$E$16*P119)*(DO119-tax_tables!$E$5:$E$16*P119)*tax_tables!$G$5:$G$16)-tax_tables!$B$5*DU119-tax_tables!$B$16*DF119)</f>
        <v/>
      </c>
      <c r="DW119" s="14">
        <f>tax_tables!$B$35*Q119+(B119&gt;=65)*MAX(0,tax_tables!$B$36*Q119-tax_tables!$B$12*MAX(0,DL119-tax_tables!$B$37*Q119))+MIN(tax_tables!$B$38,DM119)+AF119+(DL119&lt;=DP119)*MAX(0,DT119-MIN(0.03*DL119,tax_tables!$B$39*Q119))</f>
        <v/>
      </c>
      <c r="DX119" s="14">
        <f>MAX(0,SUMPRODUCT((DO119&gt;tax_tables!$I$5:$I$16*Q119)*(DO119-tax_tables!$I$5:$I$16*Q119)*tax_tables!$K$5:$K$16)-tax_tables!$B$34*DW119-tax_tables!$B$40*DF119-MAX(0,tax_tables!$B$41*Q119-tax_tables!$B$43*MAX(0,DL119-tax_tables!$B$42*Q119)))</f>
        <v/>
      </c>
      <c r="DY119" s="14">
        <f>(tax_tables!$B$6-(tax_tables!$B$6-tax_tables!$B$7)*MIN(1,MAX(0,(DP119-tax_tables!$B$8*P119)/((tax_tables!$B$9-tax_tables!$B$8)*P119))))*P119+(C119&gt;=65)*MAX(0,tax_tables!$B$10*P119-tax_tables!$B$12*MAX(0,DP119-tax_tables!$B$11*P119))+MIN(tax_tables!$B$13,DQ119)+MIN(tax_tables!$B$14*P119,Y119)+AG119+(DL119&gt;DP119)*MAX(0,DT119-MIN(0.03*DP119,tax_tables!$B$15*P119))</f>
        <v/>
      </c>
      <c r="DZ119" s="14">
        <f>MAX(0,SUMPRODUCT((DS119&gt;tax_tables!$E$5:$E$16*P119)*(DS119-tax_tables!$E$5:$E$16*P119)*tax_tables!$G$5:$G$16)-tax_tables!$B$5*DY119-tax_tables!$B$16*DI119)</f>
        <v/>
      </c>
      <c r="EA119" s="14">
        <f>tax_tables!$B$35*Q119+(C119&gt;=65)*MAX(0,tax_tables!$B$36*Q119-tax_tables!$B$12*MAX(0,DP119-tax_tables!$B$37*Q119))+MIN(tax_tables!$B$38,DQ119)+AG119+(DL119&gt;DP119)*MAX(0,DT119-MIN(0.03*DP119,tax_tables!$B$39*Q119))</f>
        <v/>
      </c>
      <c r="EB119" s="14">
        <f>MAX(0,SUMPRODUCT((DS119&gt;tax_tables!$I$5:$I$16*Q119)*(DS119-tax_tables!$I$5:$I$16*Q119)*tax_tables!$K$5:$K$16)-tax_tables!$B$34*EA119-tax_tables!$B$40*DI119-MAX(0,tax_tables!$B$41*Q119-tax_tables!$B$43*MAX(0,DP119-tax_tables!$B$42*Q119)))</f>
        <v/>
      </c>
      <c r="EC119" s="14">
        <f>DV119+DZ119+DX119+EB119+DN119+DR119</f>
        <v/>
      </c>
      <c r="ED119" s="14">
        <f>CZ119+DB119+DC119+DD119</f>
        <v/>
      </c>
      <c r="EE119" s="14">
        <f>ED119+BQ119-AR119+BR119</f>
        <v/>
      </c>
    </row>
    <row r="120">
      <c r="A120" s="21">
        <f>A119+1</f>
        <v/>
      </c>
      <c r="B120" s="21">
        <f>A120-household!$B$6</f>
        <v/>
      </c>
      <c r="C120" s="21">
        <f>A120-household!$B$9</f>
        <v/>
      </c>
      <c r="D120" s="14">
        <f>AU120+AV120+AW120+AX120+BB120+BJ120+AM120</f>
        <v/>
      </c>
      <c r="E120" s="14">
        <f>CN120+AI120+AH120</f>
        <v/>
      </c>
      <c r="F120" s="14">
        <f>BS120+BT120+BU120+BV120</f>
        <v/>
      </c>
      <c r="G120" s="14">
        <f>CQ120+CR120+CU120+CD120+CE120+CA120-CV120+CJ120+CW120</f>
        <v/>
      </c>
      <c r="H120" s="22">
        <f>IF(BY120+CB120+CC120+CF120&lt;=0,"",G120/(BY120+CB120+CC120+CF120))</f>
        <v/>
      </c>
      <c r="I120" s="23">
        <f>ED120/O120</f>
        <v/>
      </c>
      <c r="J120" s="23">
        <f>EE120/O120</f>
        <v/>
      </c>
      <c r="K120" s="14">
        <f>MAX(0,CP120-CQ120-CR120-CU120)</f>
        <v/>
      </c>
      <c r="L120" s="10" t="n"/>
      <c r="M120" s="22">
        <f>IF(L120="",$B$18,L120)</f>
        <v/>
      </c>
      <c r="N120" s="13" t="n"/>
      <c r="O120" s="12">
        <f>(1+$B$17)^(A120-household!$B$4+1)</f>
        <v/>
      </c>
      <c r="P120" s="12">
        <f>(1+$B$17)^(A120-tax_tables!$B$4)</f>
        <v/>
      </c>
      <c r="Q120" s="12">
        <f>(1+$B$17)^(A120-tax_tables!$B$4-MAX(0,MIN(A120,tax_tables!$B$45)-tax_tables!$B$44+1))</f>
        <v/>
      </c>
      <c r="R120" s="12">
        <f>(1+$B$21)^(A120-household!$B$4+1)</f>
        <v/>
      </c>
      <c r="S120" s="12">
        <f>(1+$B$22)^(A120-household!$B$4+1)</f>
        <v/>
      </c>
      <c r="T120" s="12">
        <f>(1+$B$23)^(A120-household!$B$4+1)</f>
        <v/>
      </c>
      <c r="U120" s="21">
        <f>IF(A120&lt;$B$5,1,0)</f>
        <v/>
      </c>
      <c r="V120" s="21">
        <f>IF(A120&lt;$B$6,1,0)</f>
        <v/>
      </c>
      <c r="W120" s="21">
        <f>IF(U120+V120&gt;0,1,0)</f>
        <v/>
      </c>
      <c r="X120" s="14">
        <f>U120*$B$7*O120+SUMPRODUCT(($B$72:$B$77=A120)*($D$72:$D$77="Wages: person 1")*$C$72:$C$77)*O120</f>
        <v/>
      </c>
      <c r="Y120" s="14">
        <f>V120*$B$8*O120+SUMPRODUCT(($B$72:$B$77=A120)*($D$72:$D$77="Wages: person 2")*$C$72:$C$77)*O120</f>
        <v/>
      </c>
      <c r="Z120" s="14">
        <f>U120*$B$9*O120</f>
        <v/>
      </c>
      <c r="AA120" s="14">
        <f>V120*$B$10*O120</f>
        <v/>
      </c>
      <c r="AB120" s="14">
        <f>U120*$B$11*O120</f>
        <v/>
      </c>
      <c r="AC120" s="14">
        <f>V120*$B$12*O120</f>
        <v/>
      </c>
      <c r="AD120" s="14">
        <f>X120+Y120</f>
        <v/>
      </c>
      <c r="AE120" s="14">
        <f>AD120-Z120-AA120</f>
        <v/>
      </c>
      <c r="AF120" s="14">
        <f>tax_tables!$B$25*MAX(0,MIN(X120,tax_tables!$B$27*P120)-tax_tables!$B$26)+tax_tables!$B$28*MAX(0,MIN(X120,tax_tables!$B$29*P120)-tax_tables!$B$27*P120)+tax_tables!$B$30*MIN(X120,tax_tables!$B$31*P120)</f>
        <v/>
      </c>
      <c r="AG120" s="14">
        <f>tax_tables!$B$25*MAX(0,MIN(Y120,tax_tables!$B$27*P120)-tax_tables!$B$26)+tax_tables!$B$28*MAX(0,MIN(Y120,tax_tables!$B$29*P120)-tax_tables!$B$27*P120)+tax_tables!$B$30*MIN(Y120,tax_tables!$B$31*P120)</f>
        <v/>
      </c>
      <c r="AH120" s="14">
        <f>AF120+AG120</f>
        <v/>
      </c>
      <c r="AI120" s="14">
        <f>$B$13*AE120</f>
        <v/>
      </c>
      <c r="AJ120" s="14">
        <f>AD120-Z120-AA120-AH120-AI120</f>
        <v/>
      </c>
      <c r="AK120" s="14">
        <f>SUMPRODUCT(($B$72:$B$77=A120)*($D$72:$D$77="Other taxable income")*$C$72:$C$77)*O120</f>
        <v/>
      </c>
      <c r="AL120" s="14">
        <f>SUMPRODUCT(($B$72:$B$77=A120)*($D$72:$D$77="Tax-free money in")*$C$72:$C$77)*O120</f>
        <v/>
      </c>
      <c r="AM120" s="14">
        <f>SUMPRODUCT(($B$72:$B$77=A120)*($D$72:$D$77="Expense")*$C$72:$C$77)*O120</f>
        <v/>
      </c>
      <c r="AN120" s="21">
        <f>IF(OR($B$64="",A120&lt;$B$64),1,0)</f>
        <v/>
      </c>
      <c r="AO120" s="14">
        <f>AR119</f>
        <v/>
      </c>
      <c r="AP120" s="14">
        <f>AN120*AO120*properties!$J$2</f>
        <v/>
      </c>
      <c r="AQ120" s="14">
        <f>AN120*MIN(properties!$K$2,AO120+AP120)</f>
        <v/>
      </c>
      <c r="AR120" s="14">
        <f>AN120*(AO120+AP120-AQ120)</f>
        <v/>
      </c>
      <c r="AS120" s="14">
        <f>AN120*properties!$G$2*O120</f>
        <v/>
      </c>
      <c r="AT120" s="14">
        <f>(1-AN120)*$E$64*O120</f>
        <v/>
      </c>
      <c r="AU120" s="14">
        <f>AQ120+AS120+AT120</f>
        <v/>
      </c>
      <c r="AV120" s="14">
        <f>SUMIF(budget!$A$2:$A$300,"household",budget!$F$2:$F$300)*O120*IF(N120="",1,N120)</f>
        <v/>
      </c>
      <c r="AW120" s="14">
        <f>SUMPRODUCT((other_budget!$C$2:$C$30&lt;=A120)*(other_budget!$D$2:$D$30&gt;=A120)*other_budget!$B$2:$B$30)*O120</f>
        <v/>
      </c>
      <c r="AX120" s="14">
        <f>SUMPRODUCT((kids_budget!$D$2:$D$40&lt;=A120)*(kids_budget!$E$2:$E$40&gt;=A120)*(kids_budget!$G$2:$G$40&lt;&gt;"college_funds")*kids_budget!$C$2:$C$40*((kids_budget!$F$2:$F$40="college")*S120+(kids_budget!$F$2:$F$40&lt;&gt;"college")*O120))</f>
        <v/>
      </c>
      <c r="AY120" s="14">
        <f>SUMPRODUCT((kids_budget!$D$2:$D$40&lt;=A120)*(kids_budget!$E$2:$E$40&gt;=A120)*(kids_budget!$G$2:$G$40="college_funds")*kids_budget!$C$2:$C$40*((kids_budget!$F$2:$F$40="college")*S120+(kids_budget!$F$2:$F$40&lt;&gt;"college")*O120))</f>
        <v/>
      </c>
      <c r="AZ120" s="14">
        <f>BC119</f>
        <v/>
      </c>
      <c r="BA120" s="14">
        <f>MIN(AY120,AZ120*(1+M120))</f>
        <v/>
      </c>
      <c r="BB120" s="14">
        <f>AY120-BA120</f>
        <v/>
      </c>
      <c r="BC120" s="14">
        <f>AZ120*(1+M120)-BA120</f>
        <v/>
      </c>
      <c r="BD120" s="14">
        <f>W120*healthcare!$B$2*R120</f>
        <v/>
      </c>
      <c r="BE120" s="21">
        <f>(1-W120)*2</f>
        <v/>
      </c>
      <c r="BF120" s="14">
        <f>BE120*healthcare!$B$3*12*R120</f>
        <v/>
      </c>
      <c r="BG120" s="14">
        <f>BE120*healthcare!$B$4*R120</f>
        <v/>
      </c>
      <c r="BH120" s="21">
        <f>AND(B120&gt;=$B$44,B120&lt;$B$44+$B$45)*1+AND(C120&gt;=$B$46,C120&lt;$B$46+$B$47)*1</f>
        <v/>
      </c>
      <c r="BI120" s="14">
        <f>BH120*$B$48*T120</f>
        <v/>
      </c>
      <c r="BJ120" s="14">
        <f>BD120+BF120+BG120+BI120</f>
        <v/>
      </c>
      <c r="BK120" s="14">
        <f>SUMPRODUCT((1-($B$65:$B$68&gt;0)*(A120&gt;=$B$65:$B$68))*(1-(($C$65:$C$68&gt;0)*(A120&gt;=$C$65:$C$68)))*(properties!$L$3:$L$6-properties!$M$3:$M$6))*O120+SUMPRODUCT((1-($B$65:$B$68&gt;0)*(A120&gt;=$B$65:$B$68))*(($C$65:$C$68&gt;0)*(A120&gt;=$C$65:$C$68))*($D$65:$D$68-$E$65:$E$68))*O120</f>
        <v/>
      </c>
      <c r="BL120" s="14">
        <f>SUMPRODUCT((1-($B$65:$B$68&gt;0)*(A120&gt;=$B$65:$B$68))*properties!$N$3:$N$6*(A120&lt;=properties!$O$3:$O$6))</f>
        <v/>
      </c>
      <c r="BM120" s="14">
        <f>MAX(0,BK120-BL120)</f>
        <v/>
      </c>
      <c r="BN120" s="14">
        <f>SUMPRODUCT(($B$64:$B$68=A120)*$G$64:$G$68)</f>
        <v/>
      </c>
      <c r="BO120" s="14">
        <f>SUMPRODUCT(($B$64:$B$68=A120)*$H$64:$H$68)</f>
        <v/>
      </c>
      <c r="BP120" s="14">
        <f>SUMPRODUCT(($B$64:$B$68=A120)*$I$64:$I$68)</f>
        <v/>
      </c>
      <c r="BQ120" s="14">
        <f>AN120*properties!$C$2*(1+properties!$D$2)^(A120-household!$B$4+1)</f>
        <v/>
      </c>
      <c r="BR120" s="14">
        <f>SUMPRODUCT((1-($B$65:$B$68&gt;0)*(A120&gt;=$B$65:$B$68))*properties!$C$3:$C$6*(1+properties!$D$3:$D$6)^(A120-household!$B$4+1))</f>
        <v/>
      </c>
      <c r="BS120" s="14">
        <f>IF(A120&gt;=household!$B$6+$B$26,household!$B$11*12*$B$30*O120,0)</f>
        <v/>
      </c>
      <c r="BT120" s="14">
        <f>IF(A120&gt;=household!$B$9+$B$27,household!$B$12*12*$B$31*O120,0)</f>
        <v/>
      </c>
      <c r="BU120" s="14">
        <f>IF(A120&gt;=household!$B$6+$B$28,tax_tables!$B$19*12*P120*MIN(1,household!$B$13/40)*$B$32*(1+tax_tables!$B$20*(B120&gt;=75)),0)</f>
        <v/>
      </c>
      <c r="BV120" s="14">
        <f>IF(A120&gt;=household!$B$9+$B$29,tax_tables!$B$19*12*P120*MIN(1,household!$B$14/40)*$B$33*(1+tax_tables!$B$20*(C120&gt;=75)),0)</f>
        <v/>
      </c>
      <c r="BW120" s="14">
        <f>IF(AND($B$36&lt;&gt;0,A120&gt;=household!$B$6+$B$37),$B$36*(1+$B$17)^(MAX(household!$B$6+$B$37,household!$B$4-1)-household!$B$4+1)*(1+$B$40*$B$17)^(A120-MAX(household!$B$6+$B$37,household!$B$4-1)),0)</f>
        <v/>
      </c>
      <c r="BX120" s="14">
        <f>IF(AND($B$38&lt;&gt;0,A120&gt;=household!$B$9+$B$39),$B$38*(1+$B$17)^(MAX(household!$B$9+$B$39,household!$B$4-1)-household!$B$4+1)*(1+$B$40*$B$17)^(A120-MAX(household!$B$9+$B$39,household!$B$4-1)),0)</f>
        <v/>
      </c>
      <c r="BY120" s="14">
        <f>CZ119</f>
        <v/>
      </c>
      <c r="BZ120" s="14">
        <f>DA119</f>
        <v/>
      </c>
      <c r="CA120" s="14">
        <f>$B$19*BY120</f>
        <v/>
      </c>
      <c r="CB120" s="14">
        <f>DB119</f>
        <v/>
      </c>
      <c r="CC120" s="14">
        <f>DC119</f>
        <v/>
      </c>
      <c r="CD120" s="14">
        <f>IF(B120&gt;=tax_tables!$B$46,MAX(0,CB120)*INDEX(tax_tables!$N$5:$N$54,MATCH(MIN(B120-1,120),tax_tables!$M$5:$M$54,0)),0)</f>
        <v/>
      </c>
      <c r="CE120" s="14">
        <f>IF(C120&gt;=tax_tables!$B$46,MAX(0,CC120)*INDEX(tax_tables!$N$5:$N$54,MATCH(MIN(C120-1,120),tax_tables!$M$5:$M$54,0)),0)</f>
        <v/>
      </c>
      <c r="CF120" s="14">
        <f>DD119</f>
        <v/>
      </c>
      <c r="CG120" s="14">
        <f>IF(OR($B$52="",$B$53=""),0,IF(AND(A120&gt;=$B$52,A120&lt;=$B$53),$B$51*O120,0))</f>
        <v/>
      </c>
      <c r="CH120" s="14">
        <f>MAX(0,CB120*(1+M120)-CD120)</f>
        <v/>
      </c>
      <c r="CI120" s="14">
        <f>MAX(0,CC120*(1+M120)-CE120)</f>
        <v/>
      </c>
      <c r="CJ120" s="14">
        <f>MIN(CG120,CH120+CI120)</f>
        <v/>
      </c>
      <c r="CK120" s="14">
        <f>IF(CH120+CI120&gt;1,CJ120*CH120/(CH120+CI120),0)</f>
        <v/>
      </c>
      <c r="CL120" s="14">
        <f>CJ120-CK120</f>
        <v/>
      </c>
      <c r="CM120" s="14">
        <f>CM119-CW119+CU119+tax_tables!$B$32*P120*2</f>
        <v/>
      </c>
      <c r="CN120" s="14">
        <f>EC119-AI119</f>
        <v/>
      </c>
      <c r="CO120" s="14">
        <f>AJ120+F120+BW120+BX120+BK120+CA120+CD120+CE120+BN120+AK120+AL120+CJ120</f>
        <v/>
      </c>
      <c r="CP120" s="14">
        <f>D120+CN120-CO120</f>
        <v/>
      </c>
      <c r="CQ120" s="14">
        <f>MAX(0,MIN(CP120,BY120*(1+M120-$B$19)))</f>
        <v/>
      </c>
      <c r="CR120" s="14">
        <f>MAX(0,MIN(CP120-CQ120,(CH120-CK120)+(CI120-CL120)))</f>
        <v/>
      </c>
      <c r="CS120" s="14">
        <f>IF((CH120-CK120)+(CI120-CL120)&gt;1,CR120*(CH120-CK120)/((CH120-CK120)+(CI120-CL120)),0)</f>
        <v/>
      </c>
      <c r="CT120" s="14">
        <f>CR120-CS120</f>
        <v/>
      </c>
      <c r="CU120" s="14">
        <f>MAX(0,MIN(CP120-CQ120-CR120,CF120*(1+M120)))</f>
        <v/>
      </c>
      <c r="CV120" s="14">
        <f>MAX(0,-CP120)</f>
        <v/>
      </c>
      <c r="CW120" s="14">
        <f>MIN(CV120,MAX(0,CM120))</f>
        <v/>
      </c>
      <c r="CX120" s="22">
        <f>IF(BY120&gt;0,MAX(0,1-BZ120/BY120),0)</f>
        <v/>
      </c>
      <c r="CY120" s="14">
        <f>CQ120*CX120</f>
        <v/>
      </c>
      <c r="CZ120" s="14">
        <f>BY120*(1+M120-$B$19)-CQ120+(CV120-CW120)</f>
        <v/>
      </c>
      <c r="DA120" s="14">
        <f>BZ120-(CQ120-CY120)+(CV120-CW120)</f>
        <v/>
      </c>
      <c r="DB120" s="14">
        <f>CB120*(1+M120)-CD120-CS120-CK120+Z120+AB120</f>
        <v/>
      </c>
      <c r="DC120" s="14">
        <f>CC120*(1+M120)-CE120-CT120-CL120+AA120+AC120</f>
        <v/>
      </c>
      <c r="DD120" s="14">
        <f>CF120*(1+M120)-CU120+CW120</f>
        <v/>
      </c>
      <c r="DE120" s="14">
        <f>CD120+CK120+CS120</f>
        <v/>
      </c>
      <c r="DF120" s="14">
        <f>CA120*household!$B$15*$B$20*(1+tax_tables!$B$17)</f>
        <v/>
      </c>
      <c r="DG120" s="14">
        <f>X120+BS120+BU120+BW120+DE120+DF120+CA120*household!$B$15*(1-$B$20)+(CY120+BO120)*household!$B$15*tax_tables!$B$18+(BP120+BM120+AK120)*household!$B$15-Z120</f>
        <v/>
      </c>
      <c r="DH120" s="14">
        <f>CE120+CL120+CT120</f>
        <v/>
      </c>
      <c r="DI120" s="14">
        <f>CA120*(1-household!$B$15)*$B$20*(1+tax_tables!$B$17)</f>
        <v/>
      </c>
      <c r="DJ120" s="14">
        <f>Y120+BT120+BV120+BX120+DH120+DI120+CA120*(1-household!$B$15)*(1-$B$20)+(CY120+BO120)*(1-household!$B$15)*tax_tables!$B$18+(BP120+BM120+AK120)*(1-household!$B$15)-AA120</f>
        <v/>
      </c>
      <c r="DK120" s="14">
        <f>IF((DG120&gt;=DJ120),MIN(0.5*(BW120+IF(B120&gt;=65,DE120,0)),MAX(0,(DG120-DJ120)/2)),MIN(0.5*(BX120+IF(C120&gt;=65,DH120,0)),MAX(0,(DJ120-DG120)/2)))</f>
        <v/>
      </c>
      <c r="DL120" s="14">
        <f>DG120+IF((DG120&gt;=DJ120),-DK120,DK120)</f>
        <v/>
      </c>
      <c r="DM120" s="14">
        <f>BW120+IF(B120&gt;=65,DE120,0)+IF((DG120&gt;=DJ120),-DK120,DK120)</f>
        <v/>
      </c>
      <c r="DN120" s="14">
        <f>MIN(BU120,tax_tables!$B$22*MAX(0,DL120-tax_tables!$B$21*P120))</f>
        <v/>
      </c>
      <c r="DO120" s="14">
        <f>MAX(0,DL120-DN120)</f>
        <v/>
      </c>
      <c r="DP120" s="14">
        <f>DJ120+IF((DG120&gt;=DJ120),DK120,-DK120)</f>
        <v/>
      </c>
      <c r="DQ120" s="14">
        <f>BX120+IF(C120&gt;=65,DH120,0)+IF((DG120&gt;=DJ120),DK120,-DK120)</f>
        <v/>
      </c>
      <c r="DR120" s="14">
        <f>MIN(BV120,tax_tables!$B$22*MAX(0,DP120-tax_tables!$B$21*P120))</f>
        <v/>
      </c>
      <c r="DS120" s="14">
        <f>MAX(0,DP120-DR120)</f>
        <v/>
      </c>
      <c r="DT120" s="14">
        <f>BJ120-BD120</f>
        <v/>
      </c>
      <c r="DU120" s="14">
        <f>(tax_tables!$B$6-(tax_tables!$B$6-tax_tables!$B$7)*MIN(1,MAX(0,(DL120-tax_tables!$B$8*P120)/((tax_tables!$B$9-tax_tables!$B$8)*P120))))*P120+(B120&gt;=65)*MAX(0,tax_tables!$B$10*P120-tax_tables!$B$12*MAX(0,DL120-tax_tables!$B$11*P120))+MIN(tax_tables!$B$13,DM120)+MIN(tax_tables!$B$14*P120,X120)+AF120+(DL120&lt;=DP120)*MAX(0,DT120-MIN(0.03*DL120,tax_tables!$B$15*P120))</f>
        <v/>
      </c>
      <c r="DV120" s="14">
        <f>MAX(0,SUMPRODUCT((DO120&gt;tax_tables!$E$5:$E$16*P120)*(DO120-tax_tables!$E$5:$E$16*P120)*tax_tables!$G$5:$G$16)-tax_tables!$B$5*DU120-tax_tables!$B$16*DF120)</f>
        <v/>
      </c>
      <c r="DW120" s="14">
        <f>tax_tables!$B$35*Q120+(B120&gt;=65)*MAX(0,tax_tables!$B$36*Q120-tax_tables!$B$12*MAX(0,DL120-tax_tables!$B$37*Q120))+MIN(tax_tables!$B$38,DM120)+AF120+(DL120&lt;=DP120)*MAX(0,DT120-MIN(0.03*DL120,tax_tables!$B$39*Q120))</f>
        <v/>
      </c>
      <c r="DX120" s="14">
        <f>MAX(0,SUMPRODUCT((DO120&gt;tax_tables!$I$5:$I$16*Q120)*(DO120-tax_tables!$I$5:$I$16*Q120)*tax_tables!$K$5:$K$16)-tax_tables!$B$34*DW120-tax_tables!$B$40*DF120-MAX(0,tax_tables!$B$41*Q120-tax_tables!$B$43*MAX(0,DL120-tax_tables!$B$42*Q120)))</f>
        <v/>
      </c>
      <c r="DY120" s="14">
        <f>(tax_tables!$B$6-(tax_tables!$B$6-tax_tables!$B$7)*MIN(1,MAX(0,(DP120-tax_tables!$B$8*P120)/((tax_tables!$B$9-tax_tables!$B$8)*P120))))*P120+(C120&gt;=65)*MAX(0,tax_tables!$B$10*P120-tax_tables!$B$12*MAX(0,DP120-tax_tables!$B$11*P120))+MIN(tax_tables!$B$13,DQ120)+MIN(tax_tables!$B$14*P120,Y120)+AG120+(DL120&gt;DP120)*MAX(0,DT120-MIN(0.03*DP120,tax_tables!$B$15*P120))</f>
        <v/>
      </c>
      <c r="DZ120" s="14">
        <f>MAX(0,SUMPRODUCT((DS120&gt;tax_tables!$E$5:$E$16*P120)*(DS120-tax_tables!$E$5:$E$16*P120)*tax_tables!$G$5:$G$16)-tax_tables!$B$5*DY120-tax_tables!$B$16*DI120)</f>
        <v/>
      </c>
      <c r="EA120" s="14">
        <f>tax_tables!$B$35*Q120+(C120&gt;=65)*MAX(0,tax_tables!$B$36*Q120-tax_tables!$B$12*MAX(0,DP120-tax_tables!$B$37*Q120))+MIN(tax_tables!$B$38,DQ120)+AG120+(DL120&gt;DP120)*MAX(0,DT120-MIN(0.03*DP120,tax_tables!$B$39*Q120))</f>
        <v/>
      </c>
      <c r="EB120" s="14">
        <f>MAX(0,SUMPRODUCT((DS120&gt;tax_tables!$I$5:$I$16*Q120)*(DS120-tax_tables!$I$5:$I$16*Q120)*tax_tables!$K$5:$K$16)-tax_tables!$B$34*EA120-tax_tables!$B$40*DI120-MAX(0,tax_tables!$B$41*Q120-tax_tables!$B$43*MAX(0,DP120-tax_tables!$B$42*Q120)))</f>
        <v/>
      </c>
      <c r="EC120" s="14">
        <f>DV120+DZ120+DX120+EB120+DN120+DR120</f>
        <v/>
      </c>
      <c r="ED120" s="14">
        <f>CZ120+DB120+DC120+DD120</f>
        <v/>
      </c>
      <c r="EE120" s="14">
        <f>ED120+BQ120-AR120+BR120</f>
        <v/>
      </c>
    </row>
    <row r="121">
      <c r="A121" s="21">
        <f>A120+1</f>
        <v/>
      </c>
      <c r="B121" s="21">
        <f>A121-household!$B$6</f>
        <v/>
      </c>
      <c r="C121" s="21">
        <f>A121-household!$B$9</f>
        <v/>
      </c>
      <c r="D121" s="14">
        <f>AU121+AV121+AW121+AX121+BB121+BJ121+AM121</f>
        <v/>
      </c>
      <c r="E121" s="14">
        <f>CN121+AI121+AH121</f>
        <v/>
      </c>
      <c r="F121" s="14">
        <f>BS121+BT121+BU121+BV121</f>
        <v/>
      </c>
      <c r="G121" s="14">
        <f>CQ121+CR121+CU121+CD121+CE121+CA121-CV121+CJ121+CW121</f>
        <v/>
      </c>
      <c r="H121" s="22">
        <f>IF(BY121+CB121+CC121+CF121&lt;=0,"",G121/(BY121+CB121+CC121+CF121))</f>
        <v/>
      </c>
      <c r="I121" s="23">
        <f>ED121/O121</f>
        <v/>
      </c>
      <c r="J121" s="23">
        <f>EE121/O121</f>
        <v/>
      </c>
      <c r="K121" s="14">
        <f>MAX(0,CP121-CQ121-CR121-CU121)</f>
        <v/>
      </c>
      <c r="L121" s="10" t="n"/>
      <c r="M121" s="22">
        <f>IF(L121="",$B$18,L121)</f>
        <v/>
      </c>
      <c r="N121" s="13" t="n"/>
      <c r="O121" s="12">
        <f>(1+$B$17)^(A121-household!$B$4+1)</f>
        <v/>
      </c>
      <c r="P121" s="12">
        <f>(1+$B$17)^(A121-tax_tables!$B$4)</f>
        <v/>
      </c>
      <c r="Q121" s="12">
        <f>(1+$B$17)^(A121-tax_tables!$B$4-MAX(0,MIN(A121,tax_tables!$B$45)-tax_tables!$B$44+1))</f>
        <v/>
      </c>
      <c r="R121" s="12">
        <f>(1+$B$21)^(A121-household!$B$4+1)</f>
        <v/>
      </c>
      <c r="S121" s="12">
        <f>(1+$B$22)^(A121-household!$B$4+1)</f>
        <v/>
      </c>
      <c r="T121" s="12">
        <f>(1+$B$23)^(A121-household!$B$4+1)</f>
        <v/>
      </c>
      <c r="U121" s="21">
        <f>IF(A121&lt;$B$5,1,0)</f>
        <v/>
      </c>
      <c r="V121" s="21">
        <f>IF(A121&lt;$B$6,1,0)</f>
        <v/>
      </c>
      <c r="W121" s="21">
        <f>IF(U121+V121&gt;0,1,0)</f>
        <v/>
      </c>
      <c r="X121" s="14">
        <f>U121*$B$7*O121+SUMPRODUCT(($B$72:$B$77=A121)*($D$72:$D$77="Wages: person 1")*$C$72:$C$77)*O121</f>
        <v/>
      </c>
      <c r="Y121" s="14">
        <f>V121*$B$8*O121+SUMPRODUCT(($B$72:$B$77=A121)*($D$72:$D$77="Wages: person 2")*$C$72:$C$77)*O121</f>
        <v/>
      </c>
      <c r="Z121" s="14">
        <f>U121*$B$9*O121</f>
        <v/>
      </c>
      <c r="AA121" s="14">
        <f>V121*$B$10*O121</f>
        <v/>
      </c>
      <c r="AB121" s="14">
        <f>U121*$B$11*O121</f>
        <v/>
      </c>
      <c r="AC121" s="14">
        <f>V121*$B$12*O121</f>
        <v/>
      </c>
      <c r="AD121" s="14">
        <f>X121+Y121</f>
        <v/>
      </c>
      <c r="AE121" s="14">
        <f>AD121-Z121-AA121</f>
        <v/>
      </c>
      <c r="AF121" s="14">
        <f>tax_tables!$B$25*MAX(0,MIN(X121,tax_tables!$B$27*P121)-tax_tables!$B$26)+tax_tables!$B$28*MAX(0,MIN(X121,tax_tables!$B$29*P121)-tax_tables!$B$27*P121)+tax_tables!$B$30*MIN(X121,tax_tables!$B$31*P121)</f>
        <v/>
      </c>
      <c r="AG121" s="14">
        <f>tax_tables!$B$25*MAX(0,MIN(Y121,tax_tables!$B$27*P121)-tax_tables!$B$26)+tax_tables!$B$28*MAX(0,MIN(Y121,tax_tables!$B$29*P121)-tax_tables!$B$27*P121)+tax_tables!$B$30*MIN(Y121,tax_tables!$B$31*P121)</f>
        <v/>
      </c>
      <c r="AH121" s="14">
        <f>AF121+AG121</f>
        <v/>
      </c>
      <c r="AI121" s="14">
        <f>$B$13*AE121</f>
        <v/>
      </c>
      <c r="AJ121" s="14">
        <f>AD121-Z121-AA121-AH121-AI121</f>
        <v/>
      </c>
      <c r="AK121" s="14">
        <f>SUMPRODUCT(($B$72:$B$77=A121)*($D$72:$D$77="Other taxable income")*$C$72:$C$77)*O121</f>
        <v/>
      </c>
      <c r="AL121" s="14">
        <f>SUMPRODUCT(($B$72:$B$77=A121)*($D$72:$D$77="Tax-free money in")*$C$72:$C$77)*O121</f>
        <v/>
      </c>
      <c r="AM121" s="14">
        <f>SUMPRODUCT(($B$72:$B$77=A121)*($D$72:$D$77="Expense")*$C$72:$C$77)*O121</f>
        <v/>
      </c>
      <c r="AN121" s="21">
        <f>IF(OR($B$64="",A121&lt;$B$64),1,0)</f>
        <v/>
      </c>
      <c r="AO121" s="14">
        <f>AR120</f>
        <v/>
      </c>
      <c r="AP121" s="14">
        <f>AN121*AO121*properties!$J$2</f>
        <v/>
      </c>
      <c r="AQ121" s="14">
        <f>AN121*MIN(properties!$K$2,AO121+AP121)</f>
        <v/>
      </c>
      <c r="AR121" s="14">
        <f>AN121*(AO121+AP121-AQ121)</f>
        <v/>
      </c>
      <c r="AS121" s="14">
        <f>AN121*properties!$G$2*O121</f>
        <v/>
      </c>
      <c r="AT121" s="14">
        <f>(1-AN121)*$E$64*O121</f>
        <v/>
      </c>
      <c r="AU121" s="14">
        <f>AQ121+AS121+AT121</f>
        <v/>
      </c>
      <c r="AV121" s="14">
        <f>SUMIF(budget!$A$2:$A$300,"household",budget!$F$2:$F$300)*O121*IF(N121="",1,N121)</f>
        <v/>
      </c>
      <c r="AW121" s="14">
        <f>SUMPRODUCT((other_budget!$C$2:$C$30&lt;=A121)*(other_budget!$D$2:$D$30&gt;=A121)*other_budget!$B$2:$B$30)*O121</f>
        <v/>
      </c>
      <c r="AX121" s="14">
        <f>SUMPRODUCT((kids_budget!$D$2:$D$40&lt;=A121)*(kids_budget!$E$2:$E$40&gt;=A121)*(kids_budget!$G$2:$G$40&lt;&gt;"college_funds")*kids_budget!$C$2:$C$40*((kids_budget!$F$2:$F$40="college")*S121+(kids_budget!$F$2:$F$40&lt;&gt;"college")*O121))</f>
        <v/>
      </c>
      <c r="AY121" s="14">
        <f>SUMPRODUCT((kids_budget!$D$2:$D$40&lt;=A121)*(kids_budget!$E$2:$E$40&gt;=A121)*(kids_budget!$G$2:$G$40="college_funds")*kids_budget!$C$2:$C$40*((kids_budget!$F$2:$F$40="college")*S121+(kids_budget!$F$2:$F$40&lt;&gt;"college")*O121))</f>
        <v/>
      </c>
      <c r="AZ121" s="14">
        <f>BC120</f>
        <v/>
      </c>
      <c r="BA121" s="14">
        <f>MIN(AY121,AZ121*(1+M121))</f>
        <v/>
      </c>
      <c r="BB121" s="14">
        <f>AY121-BA121</f>
        <v/>
      </c>
      <c r="BC121" s="14">
        <f>AZ121*(1+M121)-BA121</f>
        <v/>
      </c>
      <c r="BD121" s="14">
        <f>W121*healthcare!$B$2*R121</f>
        <v/>
      </c>
      <c r="BE121" s="21">
        <f>(1-W121)*2</f>
        <v/>
      </c>
      <c r="BF121" s="14">
        <f>BE121*healthcare!$B$3*12*R121</f>
        <v/>
      </c>
      <c r="BG121" s="14">
        <f>BE121*healthcare!$B$4*R121</f>
        <v/>
      </c>
      <c r="BH121" s="21">
        <f>AND(B121&gt;=$B$44,B121&lt;$B$44+$B$45)*1+AND(C121&gt;=$B$46,C121&lt;$B$46+$B$47)*1</f>
        <v/>
      </c>
      <c r="BI121" s="14">
        <f>BH121*$B$48*T121</f>
        <v/>
      </c>
      <c r="BJ121" s="14">
        <f>BD121+BF121+BG121+BI121</f>
        <v/>
      </c>
      <c r="BK121" s="14">
        <f>SUMPRODUCT((1-($B$65:$B$68&gt;0)*(A121&gt;=$B$65:$B$68))*(1-(($C$65:$C$68&gt;0)*(A121&gt;=$C$65:$C$68)))*(properties!$L$3:$L$6-properties!$M$3:$M$6))*O121+SUMPRODUCT((1-($B$65:$B$68&gt;0)*(A121&gt;=$B$65:$B$68))*(($C$65:$C$68&gt;0)*(A121&gt;=$C$65:$C$68))*($D$65:$D$68-$E$65:$E$68))*O121</f>
        <v/>
      </c>
      <c r="BL121" s="14">
        <f>SUMPRODUCT((1-($B$65:$B$68&gt;0)*(A121&gt;=$B$65:$B$68))*properties!$N$3:$N$6*(A121&lt;=properties!$O$3:$O$6))</f>
        <v/>
      </c>
      <c r="BM121" s="14">
        <f>MAX(0,BK121-BL121)</f>
        <v/>
      </c>
      <c r="BN121" s="14">
        <f>SUMPRODUCT(($B$64:$B$68=A121)*$G$64:$G$68)</f>
        <v/>
      </c>
      <c r="BO121" s="14">
        <f>SUMPRODUCT(($B$64:$B$68=A121)*$H$64:$H$68)</f>
        <v/>
      </c>
      <c r="BP121" s="14">
        <f>SUMPRODUCT(($B$64:$B$68=A121)*$I$64:$I$68)</f>
        <v/>
      </c>
      <c r="BQ121" s="14">
        <f>AN121*properties!$C$2*(1+properties!$D$2)^(A121-household!$B$4+1)</f>
        <v/>
      </c>
      <c r="BR121" s="14">
        <f>SUMPRODUCT((1-($B$65:$B$68&gt;0)*(A121&gt;=$B$65:$B$68))*properties!$C$3:$C$6*(1+properties!$D$3:$D$6)^(A121-household!$B$4+1))</f>
        <v/>
      </c>
      <c r="BS121" s="14">
        <f>IF(A121&gt;=household!$B$6+$B$26,household!$B$11*12*$B$30*O121,0)</f>
        <v/>
      </c>
      <c r="BT121" s="14">
        <f>IF(A121&gt;=household!$B$9+$B$27,household!$B$12*12*$B$31*O121,0)</f>
        <v/>
      </c>
      <c r="BU121" s="14">
        <f>IF(A121&gt;=household!$B$6+$B$28,tax_tables!$B$19*12*P121*MIN(1,household!$B$13/40)*$B$32*(1+tax_tables!$B$20*(B121&gt;=75)),0)</f>
        <v/>
      </c>
      <c r="BV121" s="14">
        <f>IF(A121&gt;=household!$B$9+$B$29,tax_tables!$B$19*12*P121*MIN(1,household!$B$14/40)*$B$33*(1+tax_tables!$B$20*(C121&gt;=75)),0)</f>
        <v/>
      </c>
      <c r="BW121" s="14">
        <f>IF(AND($B$36&lt;&gt;0,A121&gt;=household!$B$6+$B$37),$B$36*(1+$B$17)^(MAX(household!$B$6+$B$37,household!$B$4-1)-household!$B$4+1)*(1+$B$40*$B$17)^(A121-MAX(household!$B$6+$B$37,household!$B$4-1)),0)</f>
        <v/>
      </c>
      <c r="BX121" s="14">
        <f>IF(AND($B$38&lt;&gt;0,A121&gt;=household!$B$9+$B$39),$B$38*(1+$B$17)^(MAX(household!$B$9+$B$39,household!$B$4-1)-household!$B$4+1)*(1+$B$40*$B$17)^(A121-MAX(household!$B$9+$B$39,household!$B$4-1)),0)</f>
        <v/>
      </c>
      <c r="BY121" s="14">
        <f>CZ120</f>
        <v/>
      </c>
      <c r="BZ121" s="14">
        <f>DA120</f>
        <v/>
      </c>
      <c r="CA121" s="14">
        <f>$B$19*BY121</f>
        <v/>
      </c>
      <c r="CB121" s="14">
        <f>DB120</f>
        <v/>
      </c>
      <c r="CC121" s="14">
        <f>DC120</f>
        <v/>
      </c>
      <c r="CD121" s="14">
        <f>IF(B121&gt;=tax_tables!$B$46,MAX(0,CB121)*INDEX(tax_tables!$N$5:$N$54,MATCH(MIN(B121-1,120),tax_tables!$M$5:$M$54,0)),0)</f>
        <v/>
      </c>
      <c r="CE121" s="14">
        <f>IF(C121&gt;=tax_tables!$B$46,MAX(0,CC121)*INDEX(tax_tables!$N$5:$N$54,MATCH(MIN(C121-1,120),tax_tables!$M$5:$M$54,0)),0)</f>
        <v/>
      </c>
      <c r="CF121" s="14">
        <f>DD120</f>
        <v/>
      </c>
      <c r="CG121" s="14">
        <f>IF(OR($B$52="",$B$53=""),0,IF(AND(A121&gt;=$B$52,A121&lt;=$B$53),$B$51*O121,0))</f>
        <v/>
      </c>
      <c r="CH121" s="14">
        <f>MAX(0,CB121*(1+M121)-CD121)</f>
        <v/>
      </c>
      <c r="CI121" s="14">
        <f>MAX(0,CC121*(1+M121)-CE121)</f>
        <v/>
      </c>
      <c r="CJ121" s="14">
        <f>MIN(CG121,CH121+CI121)</f>
        <v/>
      </c>
      <c r="CK121" s="14">
        <f>IF(CH121+CI121&gt;1,CJ121*CH121/(CH121+CI121),0)</f>
        <v/>
      </c>
      <c r="CL121" s="14">
        <f>CJ121-CK121</f>
        <v/>
      </c>
      <c r="CM121" s="14">
        <f>CM120-CW120+CU120+tax_tables!$B$32*P121*2</f>
        <v/>
      </c>
      <c r="CN121" s="14">
        <f>EC120-AI120</f>
        <v/>
      </c>
      <c r="CO121" s="14">
        <f>AJ121+F121+BW121+BX121+BK121+CA121+CD121+CE121+BN121+AK121+AL121+CJ121</f>
        <v/>
      </c>
      <c r="CP121" s="14">
        <f>D121+CN121-CO121</f>
        <v/>
      </c>
      <c r="CQ121" s="14">
        <f>MAX(0,MIN(CP121,BY121*(1+M121-$B$19)))</f>
        <v/>
      </c>
      <c r="CR121" s="14">
        <f>MAX(0,MIN(CP121-CQ121,(CH121-CK121)+(CI121-CL121)))</f>
        <v/>
      </c>
      <c r="CS121" s="14">
        <f>IF((CH121-CK121)+(CI121-CL121)&gt;1,CR121*(CH121-CK121)/((CH121-CK121)+(CI121-CL121)),0)</f>
        <v/>
      </c>
      <c r="CT121" s="14">
        <f>CR121-CS121</f>
        <v/>
      </c>
      <c r="CU121" s="14">
        <f>MAX(0,MIN(CP121-CQ121-CR121,CF121*(1+M121)))</f>
        <v/>
      </c>
      <c r="CV121" s="14">
        <f>MAX(0,-CP121)</f>
        <v/>
      </c>
      <c r="CW121" s="14">
        <f>MIN(CV121,MAX(0,CM121))</f>
        <v/>
      </c>
      <c r="CX121" s="22">
        <f>IF(BY121&gt;0,MAX(0,1-BZ121/BY121),0)</f>
        <v/>
      </c>
      <c r="CY121" s="14">
        <f>CQ121*CX121</f>
        <v/>
      </c>
      <c r="CZ121" s="14">
        <f>BY121*(1+M121-$B$19)-CQ121+(CV121-CW121)</f>
        <v/>
      </c>
      <c r="DA121" s="14">
        <f>BZ121-(CQ121-CY121)+(CV121-CW121)</f>
        <v/>
      </c>
      <c r="DB121" s="14">
        <f>CB121*(1+M121)-CD121-CS121-CK121+Z121+AB121</f>
        <v/>
      </c>
      <c r="DC121" s="14">
        <f>CC121*(1+M121)-CE121-CT121-CL121+AA121+AC121</f>
        <v/>
      </c>
      <c r="DD121" s="14">
        <f>CF121*(1+M121)-CU121+CW121</f>
        <v/>
      </c>
      <c r="DE121" s="14">
        <f>CD121+CK121+CS121</f>
        <v/>
      </c>
      <c r="DF121" s="14">
        <f>CA121*household!$B$15*$B$20*(1+tax_tables!$B$17)</f>
        <v/>
      </c>
      <c r="DG121" s="14">
        <f>X121+BS121+BU121+BW121+DE121+DF121+CA121*household!$B$15*(1-$B$20)+(CY121+BO121)*household!$B$15*tax_tables!$B$18+(BP121+BM121+AK121)*household!$B$15-Z121</f>
        <v/>
      </c>
      <c r="DH121" s="14">
        <f>CE121+CL121+CT121</f>
        <v/>
      </c>
      <c r="DI121" s="14">
        <f>CA121*(1-household!$B$15)*$B$20*(1+tax_tables!$B$17)</f>
        <v/>
      </c>
      <c r="DJ121" s="14">
        <f>Y121+BT121+BV121+BX121+DH121+DI121+CA121*(1-household!$B$15)*(1-$B$20)+(CY121+BO121)*(1-household!$B$15)*tax_tables!$B$18+(BP121+BM121+AK121)*(1-household!$B$15)-AA121</f>
        <v/>
      </c>
      <c r="DK121" s="14">
        <f>IF((DG121&gt;=DJ121),MIN(0.5*(BW121+IF(B121&gt;=65,DE121,0)),MAX(0,(DG121-DJ121)/2)),MIN(0.5*(BX121+IF(C121&gt;=65,DH121,0)),MAX(0,(DJ121-DG121)/2)))</f>
        <v/>
      </c>
      <c r="DL121" s="14">
        <f>DG121+IF((DG121&gt;=DJ121),-DK121,DK121)</f>
        <v/>
      </c>
      <c r="DM121" s="14">
        <f>BW121+IF(B121&gt;=65,DE121,0)+IF((DG121&gt;=DJ121),-DK121,DK121)</f>
        <v/>
      </c>
      <c r="DN121" s="14">
        <f>MIN(BU121,tax_tables!$B$22*MAX(0,DL121-tax_tables!$B$21*P121))</f>
        <v/>
      </c>
      <c r="DO121" s="14">
        <f>MAX(0,DL121-DN121)</f>
        <v/>
      </c>
      <c r="DP121" s="14">
        <f>DJ121+IF((DG121&gt;=DJ121),DK121,-DK121)</f>
        <v/>
      </c>
      <c r="DQ121" s="14">
        <f>BX121+IF(C121&gt;=65,DH121,0)+IF((DG121&gt;=DJ121),DK121,-DK121)</f>
        <v/>
      </c>
      <c r="DR121" s="14">
        <f>MIN(BV121,tax_tables!$B$22*MAX(0,DP121-tax_tables!$B$21*P121))</f>
        <v/>
      </c>
      <c r="DS121" s="14">
        <f>MAX(0,DP121-DR121)</f>
        <v/>
      </c>
      <c r="DT121" s="14">
        <f>BJ121-BD121</f>
        <v/>
      </c>
      <c r="DU121" s="14">
        <f>(tax_tables!$B$6-(tax_tables!$B$6-tax_tables!$B$7)*MIN(1,MAX(0,(DL121-tax_tables!$B$8*P121)/((tax_tables!$B$9-tax_tables!$B$8)*P121))))*P121+(B121&gt;=65)*MAX(0,tax_tables!$B$10*P121-tax_tables!$B$12*MAX(0,DL121-tax_tables!$B$11*P121))+MIN(tax_tables!$B$13,DM121)+MIN(tax_tables!$B$14*P121,X121)+AF121+(DL121&lt;=DP121)*MAX(0,DT121-MIN(0.03*DL121,tax_tables!$B$15*P121))</f>
        <v/>
      </c>
      <c r="DV121" s="14">
        <f>MAX(0,SUMPRODUCT((DO121&gt;tax_tables!$E$5:$E$16*P121)*(DO121-tax_tables!$E$5:$E$16*P121)*tax_tables!$G$5:$G$16)-tax_tables!$B$5*DU121-tax_tables!$B$16*DF121)</f>
        <v/>
      </c>
      <c r="DW121" s="14">
        <f>tax_tables!$B$35*Q121+(B121&gt;=65)*MAX(0,tax_tables!$B$36*Q121-tax_tables!$B$12*MAX(0,DL121-tax_tables!$B$37*Q121))+MIN(tax_tables!$B$38,DM121)+AF121+(DL121&lt;=DP121)*MAX(0,DT121-MIN(0.03*DL121,tax_tables!$B$39*Q121))</f>
        <v/>
      </c>
      <c r="DX121" s="14">
        <f>MAX(0,SUMPRODUCT((DO121&gt;tax_tables!$I$5:$I$16*Q121)*(DO121-tax_tables!$I$5:$I$16*Q121)*tax_tables!$K$5:$K$16)-tax_tables!$B$34*DW121-tax_tables!$B$40*DF121-MAX(0,tax_tables!$B$41*Q121-tax_tables!$B$43*MAX(0,DL121-tax_tables!$B$42*Q121)))</f>
        <v/>
      </c>
      <c r="DY121" s="14">
        <f>(tax_tables!$B$6-(tax_tables!$B$6-tax_tables!$B$7)*MIN(1,MAX(0,(DP121-tax_tables!$B$8*P121)/((tax_tables!$B$9-tax_tables!$B$8)*P121))))*P121+(C121&gt;=65)*MAX(0,tax_tables!$B$10*P121-tax_tables!$B$12*MAX(0,DP121-tax_tables!$B$11*P121))+MIN(tax_tables!$B$13,DQ121)+MIN(tax_tables!$B$14*P121,Y121)+AG121+(DL121&gt;DP121)*MAX(0,DT121-MIN(0.03*DP121,tax_tables!$B$15*P121))</f>
        <v/>
      </c>
      <c r="DZ121" s="14">
        <f>MAX(0,SUMPRODUCT((DS121&gt;tax_tables!$E$5:$E$16*P121)*(DS121-tax_tables!$E$5:$E$16*P121)*tax_tables!$G$5:$G$16)-tax_tables!$B$5*DY121-tax_tables!$B$16*DI121)</f>
        <v/>
      </c>
      <c r="EA121" s="14">
        <f>tax_tables!$B$35*Q121+(C121&gt;=65)*MAX(0,tax_tables!$B$36*Q121-tax_tables!$B$12*MAX(0,DP121-tax_tables!$B$37*Q121))+MIN(tax_tables!$B$38,DQ121)+AG121+(DL121&gt;DP121)*MAX(0,DT121-MIN(0.03*DP121,tax_tables!$B$39*Q121))</f>
        <v/>
      </c>
      <c r="EB121" s="14">
        <f>MAX(0,SUMPRODUCT((DS121&gt;tax_tables!$I$5:$I$16*Q121)*(DS121-tax_tables!$I$5:$I$16*Q121)*tax_tables!$K$5:$K$16)-tax_tables!$B$34*EA121-tax_tables!$B$40*DI121-MAX(0,tax_tables!$B$41*Q121-tax_tables!$B$43*MAX(0,DP121-tax_tables!$B$42*Q121)))</f>
        <v/>
      </c>
      <c r="EC121" s="14">
        <f>DV121+DZ121+DX121+EB121+DN121+DR121</f>
        <v/>
      </c>
      <c r="ED121" s="14">
        <f>CZ121+DB121+DC121+DD121</f>
        <v/>
      </c>
      <c r="EE121" s="14">
        <f>ED121+BQ121-AR121+BR121</f>
        <v/>
      </c>
    </row>
    <row r="122">
      <c r="A122" s="21">
        <f>A121+1</f>
        <v/>
      </c>
      <c r="B122" s="21">
        <f>A122-household!$B$6</f>
        <v/>
      </c>
      <c r="C122" s="21">
        <f>A122-household!$B$9</f>
        <v/>
      </c>
      <c r="D122" s="14">
        <f>AU122+AV122+AW122+AX122+BB122+BJ122+AM122</f>
        <v/>
      </c>
      <c r="E122" s="14">
        <f>CN122+AI122+AH122</f>
        <v/>
      </c>
      <c r="F122" s="14">
        <f>BS122+BT122+BU122+BV122</f>
        <v/>
      </c>
      <c r="G122" s="14">
        <f>CQ122+CR122+CU122+CD122+CE122+CA122-CV122+CJ122+CW122</f>
        <v/>
      </c>
      <c r="H122" s="22">
        <f>IF(BY122+CB122+CC122+CF122&lt;=0,"",G122/(BY122+CB122+CC122+CF122))</f>
        <v/>
      </c>
      <c r="I122" s="23">
        <f>ED122/O122</f>
        <v/>
      </c>
      <c r="J122" s="23">
        <f>EE122/O122</f>
        <v/>
      </c>
      <c r="K122" s="14">
        <f>MAX(0,CP122-CQ122-CR122-CU122)</f>
        <v/>
      </c>
      <c r="L122" s="10" t="n"/>
      <c r="M122" s="22">
        <f>IF(L122="",$B$18,L122)</f>
        <v/>
      </c>
      <c r="N122" s="13" t="n"/>
      <c r="O122" s="12">
        <f>(1+$B$17)^(A122-household!$B$4+1)</f>
        <v/>
      </c>
      <c r="P122" s="12">
        <f>(1+$B$17)^(A122-tax_tables!$B$4)</f>
        <v/>
      </c>
      <c r="Q122" s="12">
        <f>(1+$B$17)^(A122-tax_tables!$B$4-MAX(0,MIN(A122,tax_tables!$B$45)-tax_tables!$B$44+1))</f>
        <v/>
      </c>
      <c r="R122" s="12">
        <f>(1+$B$21)^(A122-household!$B$4+1)</f>
        <v/>
      </c>
      <c r="S122" s="12">
        <f>(1+$B$22)^(A122-household!$B$4+1)</f>
        <v/>
      </c>
      <c r="T122" s="12">
        <f>(1+$B$23)^(A122-household!$B$4+1)</f>
        <v/>
      </c>
      <c r="U122" s="21">
        <f>IF(A122&lt;$B$5,1,0)</f>
        <v/>
      </c>
      <c r="V122" s="21">
        <f>IF(A122&lt;$B$6,1,0)</f>
        <v/>
      </c>
      <c r="W122" s="21">
        <f>IF(U122+V122&gt;0,1,0)</f>
        <v/>
      </c>
      <c r="X122" s="14">
        <f>U122*$B$7*O122+SUMPRODUCT(($B$72:$B$77=A122)*($D$72:$D$77="Wages: person 1")*$C$72:$C$77)*O122</f>
        <v/>
      </c>
      <c r="Y122" s="14">
        <f>V122*$B$8*O122+SUMPRODUCT(($B$72:$B$77=A122)*($D$72:$D$77="Wages: person 2")*$C$72:$C$77)*O122</f>
        <v/>
      </c>
      <c r="Z122" s="14">
        <f>U122*$B$9*O122</f>
        <v/>
      </c>
      <c r="AA122" s="14">
        <f>V122*$B$10*O122</f>
        <v/>
      </c>
      <c r="AB122" s="14">
        <f>U122*$B$11*O122</f>
        <v/>
      </c>
      <c r="AC122" s="14">
        <f>V122*$B$12*O122</f>
        <v/>
      </c>
      <c r="AD122" s="14">
        <f>X122+Y122</f>
        <v/>
      </c>
      <c r="AE122" s="14">
        <f>AD122-Z122-AA122</f>
        <v/>
      </c>
      <c r="AF122" s="14">
        <f>tax_tables!$B$25*MAX(0,MIN(X122,tax_tables!$B$27*P122)-tax_tables!$B$26)+tax_tables!$B$28*MAX(0,MIN(X122,tax_tables!$B$29*P122)-tax_tables!$B$27*P122)+tax_tables!$B$30*MIN(X122,tax_tables!$B$31*P122)</f>
        <v/>
      </c>
      <c r="AG122" s="14">
        <f>tax_tables!$B$25*MAX(0,MIN(Y122,tax_tables!$B$27*P122)-tax_tables!$B$26)+tax_tables!$B$28*MAX(0,MIN(Y122,tax_tables!$B$29*P122)-tax_tables!$B$27*P122)+tax_tables!$B$30*MIN(Y122,tax_tables!$B$31*P122)</f>
        <v/>
      </c>
      <c r="AH122" s="14">
        <f>AF122+AG122</f>
        <v/>
      </c>
      <c r="AI122" s="14">
        <f>$B$13*AE122</f>
        <v/>
      </c>
      <c r="AJ122" s="14">
        <f>AD122-Z122-AA122-AH122-AI122</f>
        <v/>
      </c>
      <c r="AK122" s="14">
        <f>SUMPRODUCT(($B$72:$B$77=A122)*($D$72:$D$77="Other taxable income")*$C$72:$C$77)*O122</f>
        <v/>
      </c>
      <c r="AL122" s="14">
        <f>SUMPRODUCT(($B$72:$B$77=A122)*($D$72:$D$77="Tax-free money in")*$C$72:$C$77)*O122</f>
        <v/>
      </c>
      <c r="AM122" s="14">
        <f>SUMPRODUCT(($B$72:$B$77=A122)*($D$72:$D$77="Expense")*$C$72:$C$77)*O122</f>
        <v/>
      </c>
      <c r="AN122" s="21">
        <f>IF(OR($B$64="",A122&lt;$B$64),1,0)</f>
        <v/>
      </c>
      <c r="AO122" s="14">
        <f>AR121</f>
        <v/>
      </c>
      <c r="AP122" s="14">
        <f>AN122*AO122*properties!$J$2</f>
        <v/>
      </c>
      <c r="AQ122" s="14">
        <f>AN122*MIN(properties!$K$2,AO122+AP122)</f>
        <v/>
      </c>
      <c r="AR122" s="14">
        <f>AN122*(AO122+AP122-AQ122)</f>
        <v/>
      </c>
      <c r="AS122" s="14">
        <f>AN122*properties!$G$2*O122</f>
        <v/>
      </c>
      <c r="AT122" s="14">
        <f>(1-AN122)*$E$64*O122</f>
        <v/>
      </c>
      <c r="AU122" s="14">
        <f>AQ122+AS122+AT122</f>
        <v/>
      </c>
      <c r="AV122" s="14">
        <f>SUMIF(budget!$A$2:$A$300,"household",budget!$F$2:$F$300)*O122*IF(N122="",1,N122)</f>
        <v/>
      </c>
      <c r="AW122" s="14">
        <f>SUMPRODUCT((other_budget!$C$2:$C$30&lt;=A122)*(other_budget!$D$2:$D$30&gt;=A122)*other_budget!$B$2:$B$30)*O122</f>
        <v/>
      </c>
      <c r="AX122" s="14">
        <f>SUMPRODUCT((kids_budget!$D$2:$D$40&lt;=A122)*(kids_budget!$E$2:$E$40&gt;=A122)*(kids_budget!$G$2:$G$40&lt;&gt;"college_funds")*kids_budget!$C$2:$C$40*((kids_budget!$F$2:$F$40="college")*S122+(kids_budget!$F$2:$F$40&lt;&gt;"college")*O122))</f>
        <v/>
      </c>
      <c r="AY122" s="14">
        <f>SUMPRODUCT((kids_budget!$D$2:$D$40&lt;=A122)*(kids_budget!$E$2:$E$40&gt;=A122)*(kids_budget!$G$2:$G$40="college_funds")*kids_budget!$C$2:$C$40*((kids_budget!$F$2:$F$40="college")*S122+(kids_budget!$F$2:$F$40&lt;&gt;"college")*O122))</f>
        <v/>
      </c>
      <c r="AZ122" s="14">
        <f>BC121</f>
        <v/>
      </c>
      <c r="BA122" s="14">
        <f>MIN(AY122,AZ122*(1+M122))</f>
        <v/>
      </c>
      <c r="BB122" s="14">
        <f>AY122-BA122</f>
        <v/>
      </c>
      <c r="BC122" s="14">
        <f>AZ122*(1+M122)-BA122</f>
        <v/>
      </c>
      <c r="BD122" s="14">
        <f>W122*healthcare!$B$2*R122</f>
        <v/>
      </c>
      <c r="BE122" s="21">
        <f>(1-W122)*2</f>
        <v/>
      </c>
      <c r="BF122" s="14">
        <f>BE122*healthcare!$B$3*12*R122</f>
        <v/>
      </c>
      <c r="BG122" s="14">
        <f>BE122*healthcare!$B$4*R122</f>
        <v/>
      </c>
      <c r="BH122" s="21">
        <f>AND(B122&gt;=$B$44,B122&lt;$B$44+$B$45)*1+AND(C122&gt;=$B$46,C122&lt;$B$46+$B$47)*1</f>
        <v/>
      </c>
      <c r="BI122" s="14">
        <f>BH122*$B$48*T122</f>
        <v/>
      </c>
      <c r="BJ122" s="14">
        <f>BD122+BF122+BG122+BI122</f>
        <v/>
      </c>
      <c r="BK122" s="14">
        <f>SUMPRODUCT((1-($B$65:$B$68&gt;0)*(A122&gt;=$B$65:$B$68))*(1-(($C$65:$C$68&gt;0)*(A122&gt;=$C$65:$C$68)))*(properties!$L$3:$L$6-properties!$M$3:$M$6))*O122+SUMPRODUCT((1-($B$65:$B$68&gt;0)*(A122&gt;=$B$65:$B$68))*(($C$65:$C$68&gt;0)*(A122&gt;=$C$65:$C$68))*($D$65:$D$68-$E$65:$E$68))*O122</f>
        <v/>
      </c>
      <c r="BL122" s="14">
        <f>SUMPRODUCT((1-($B$65:$B$68&gt;0)*(A122&gt;=$B$65:$B$68))*properties!$N$3:$N$6*(A122&lt;=properties!$O$3:$O$6))</f>
        <v/>
      </c>
      <c r="BM122" s="14">
        <f>MAX(0,BK122-BL122)</f>
        <v/>
      </c>
      <c r="BN122" s="14">
        <f>SUMPRODUCT(($B$64:$B$68=A122)*$G$64:$G$68)</f>
        <v/>
      </c>
      <c r="BO122" s="14">
        <f>SUMPRODUCT(($B$64:$B$68=A122)*$H$64:$H$68)</f>
        <v/>
      </c>
      <c r="BP122" s="14">
        <f>SUMPRODUCT(($B$64:$B$68=A122)*$I$64:$I$68)</f>
        <v/>
      </c>
      <c r="BQ122" s="14">
        <f>AN122*properties!$C$2*(1+properties!$D$2)^(A122-household!$B$4+1)</f>
        <v/>
      </c>
      <c r="BR122" s="14">
        <f>SUMPRODUCT((1-($B$65:$B$68&gt;0)*(A122&gt;=$B$65:$B$68))*properties!$C$3:$C$6*(1+properties!$D$3:$D$6)^(A122-household!$B$4+1))</f>
        <v/>
      </c>
      <c r="BS122" s="14">
        <f>IF(A122&gt;=household!$B$6+$B$26,household!$B$11*12*$B$30*O122,0)</f>
        <v/>
      </c>
      <c r="BT122" s="14">
        <f>IF(A122&gt;=household!$B$9+$B$27,household!$B$12*12*$B$31*O122,0)</f>
        <v/>
      </c>
      <c r="BU122" s="14">
        <f>IF(A122&gt;=household!$B$6+$B$28,tax_tables!$B$19*12*P122*MIN(1,household!$B$13/40)*$B$32*(1+tax_tables!$B$20*(B122&gt;=75)),0)</f>
        <v/>
      </c>
      <c r="BV122" s="14">
        <f>IF(A122&gt;=household!$B$9+$B$29,tax_tables!$B$19*12*P122*MIN(1,household!$B$14/40)*$B$33*(1+tax_tables!$B$20*(C122&gt;=75)),0)</f>
        <v/>
      </c>
      <c r="BW122" s="14">
        <f>IF(AND($B$36&lt;&gt;0,A122&gt;=household!$B$6+$B$37),$B$36*(1+$B$17)^(MAX(household!$B$6+$B$37,household!$B$4-1)-household!$B$4+1)*(1+$B$40*$B$17)^(A122-MAX(household!$B$6+$B$37,household!$B$4-1)),0)</f>
        <v/>
      </c>
      <c r="BX122" s="14">
        <f>IF(AND($B$38&lt;&gt;0,A122&gt;=household!$B$9+$B$39),$B$38*(1+$B$17)^(MAX(household!$B$9+$B$39,household!$B$4-1)-household!$B$4+1)*(1+$B$40*$B$17)^(A122-MAX(household!$B$9+$B$39,household!$B$4-1)),0)</f>
        <v/>
      </c>
      <c r="BY122" s="14">
        <f>CZ121</f>
        <v/>
      </c>
      <c r="BZ122" s="14">
        <f>DA121</f>
        <v/>
      </c>
      <c r="CA122" s="14">
        <f>$B$19*BY122</f>
        <v/>
      </c>
      <c r="CB122" s="14">
        <f>DB121</f>
        <v/>
      </c>
      <c r="CC122" s="14">
        <f>DC121</f>
        <v/>
      </c>
      <c r="CD122" s="14">
        <f>IF(B122&gt;=tax_tables!$B$46,MAX(0,CB122)*INDEX(tax_tables!$N$5:$N$54,MATCH(MIN(B122-1,120),tax_tables!$M$5:$M$54,0)),0)</f>
        <v/>
      </c>
      <c r="CE122" s="14">
        <f>IF(C122&gt;=tax_tables!$B$46,MAX(0,CC122)*INDEX(tax_tables!$N$5:$N$54,MATCH(MIN(C122-1,120),tax_tables!$M$5:$M$54,0)),0)</f>
        <v/>
      </c>
      <c r="CF122" s="14">
        <f>DD121</f>
        <v/>
      </c>
      <c r="CG122" s="14">
        <f>IF(OR($B$52="",$B$53=""),0,IF(AND(A122&gt;=$B$52,A122&lt;=$B$53),$B$51*O122,0))</f>
        <v/>
      </c>
      <c r="CH122" s="14">
        <f>MAX(0,CB122*(1+M122)-CD122)</f>
        <v/>
      </c>
      <c r="CI122" s="14">
        <f>MAX(0,CC122*(1+M122)-CE122)</f>
        <v/>
      </c>
      <c r="CJ122" s="14">
        <f>MIN(CG122,CH122+CI122)</f>
        <v/>
      </c>
      <c r="CK122" s="14">
        <f>IF(CH122+CI122&gt;1,CJ122*CH122/(CH122+CI122),0)</f>
        <v/>
      </c>
      <c r="CL122" s="14">
        <f>CJ122-CK122</f>
        <v/>
      </c>
      <c r="CM122" s="14">
        <f>CM121-CW121+CU121+tax_tables!$B$32*P122*2</f>
        <v/>
      </c>
      <c r="CN122" s="14">
        <f>EC121-AI121</f>
        <v/>
      </c>
      <c r="CO122" s="14">
        <f>AJ122+F122+BW122+BX122+BK122+CA122+CD122+CE122+BN122+AK122+AL122+CJ122</f>
        <v/>
      </c>
      <c r="CP122" s="14">
        <f>D122+CN122-CO122</f>
        <v/>
      </c>
      <c r="CQ122" s="14">
        <f>MAX(0,MIN(CP122,BY122*(1+M122-$B$19)))</f>
        <v/>
      </c>
      <c r="CR122" s="14">
        <f>MAX(0,MIN(CP122-CQ122,(CH122-CK122)+(CI122-CL122)))</f>
        <v/>
      </c>
      <c r="CS122" s="14">
        <f>IF((CH122-CK122)+(CI122-CL122)&gt;1,CR122*(CH122-CK122)/((CH122-CK122)+(CI122-CL122)),0)</f>
        <v/>
      </c>
      <c r="CT122" s="14">
        <f>CR122-CS122</f>
        <v/>
      </c>
      <c r="CU122" s="14">
        <f>MAX(0,MIN(CP122-CQ122-CR122,CF122*(1+M122)))</f>
        <v/>
      </c>
      <c r="CV122" s="14">
        <f>MAX(0,-CP122)</f>
        <v/>
      </c>
      <c r="CW122" s="14">
        <f>MIN(CV122,MAX(0,CM122))</f>
        <v/>
      </c>
      <c r="CX122" s="22">
        <f>IF(BY122&gt;0,MAX(0,1-BZ122/BY122),0)</f>
        <v/>
      </c>
      <c r="CY122" s="14">
        <f>CQ122*CX122</f>
        <v/>
      </c>
      <c r="CZ122" s="14">
        <f>BY122*(1+M122-$B$19)-CQ122+(CV122-CW122)</f>
        <v/>
      </c>
      <c r="DA122" s="14">
        <f>BZ122-(CQ122-CY122)+(CV122-CW122)</f>
        <v/>
      </c>
      <c r="DB122" s="14">
        <f>CB122*(1+M122)-CD122-CS122-CK122+Z122+AB122</f>
        <v/>
      </c>
      <c r="DC122" s="14">
        <f>CC122*(1+M122)-CE122-CT122-CL122+AA122+AC122</f>
        <v/>
      </c>
      <c r="DD122" s="14">
        <f>CF122*(1+M122)-CU122+CW122</f>
        <v/>
      </c>
      <c r="DE122" s="14">
        <f>CD122+CK122+CS122</f>
        <v/>
      </c>
      <c r="DF122" s="14">
        <f>CA122*household!$B$15*$B$20*(1+tax_tables!$B$17)</f>
        <v/>
      </c>
      <c r="DG122" s="14">
        <f>X122+BS122+BU122+BW122+DE122+DF122+CA122*household!$B$15*(1-$B$20)+(CY122+BO122)*household!$B$15*tax_tables!$B$18+(BP122+BM122+AK122)*household!$B$15-Z122</f>
        <v/>
      </c>
      <c r="DH122" s="14">
        <f>CE122+CL122+CT122</f>
        <v/>
      </c>
      <c r="DI122" s="14">
        <f>CA122*(1-household!$B$15)*$B$20*(1+tax_tables!$B$17)</f>
        <v/>
      </c>
      <c r="DJ122" s="14">
        <f>Y122+BT122+BV122+BX122+DH122+DI122+CA122*(1-household!$B$15)*(1-$B$20)+(CY122+BO122)*(1-household!$B$15)*tax_tables!$B$18+(BP122+BM122+AK122)*(1-household!$B$15)-AA122</f>
        <v/>
      </c>
      <c r="DK122" s="14">
        <f>IF((DG122&gt;=DJ122),MIN(0.5*(BW122+IF(B122&gt;=65,DE122,0)),MAX(0,(DG122-DJ122)/2)),MIN(0.5*(BX122+IF(C122&gt;=65,DH122,0)),MAX(0,(DJ122-DG122)/2)))</f>
        <v/>
      </c>
      <c r="DL122" s="14">
        <f>DG122+IF((DG122&gt;=DJ122),-DK122,DK122)</f>
        <v/>
      </c>
      <c r="DM122" s="14">
        <f>BW122+IF(B122&gt;=65,DE122,0)+IF((DG122&gt;=DJ122),-DK122,DK122)</f>
        <v/>
      </c>
      <c r="DN122" s="14">
        <f>MIN(BU122,tax_tables!$B$22*MAX(0,DL122-tax_tables!$B$21*P122))</f>
        <v/>
      </c>
      <c r="DO122" s="14">
        <f>MAX(0,DL122-DN122)</f>
        <v/>
      </c>
      <c r="DP122" s="14">
        <f>DJ122+IF((DG122&gt;=DJ122),DK122,-DK122)</f>
        <v/>
      </c>
      <c r="DQ122" s="14">
        <f>BX122+IF(C122&gt;=65,DH122,0)+IF((DG122&gt;=DJ122),DK122,-DK122)</f>
        <v/>
      </c>
      <c r="DR122" s="14">
        <f>MIN(BV122,tax_tables!$B$22*MAX(0,DP122-tax_tables!$B$21*P122))</f>
        <v/>
      </c>
      <c r="DS122" s="14">
        <f>MAX(0,DP122-DR122)</f>
        <v/>
      </c>
      <c r="DT122" s="14">
        <f>BJ122-BD122</f>
        <v/>
      </c>
      <c r="DU122" s="14">
        <f>(tax_tables!$B$6-(tax_tables!$B$6-tax_tables!$B$7)*MIN(1,MAX(0,(DL122-tax_tables!$B$8*P122)/((tax_tables!$B$9-tax_tables!$B$8)*P122))))*P122+(B122&gt;=65)*MAX(0,tax_tables!$B$10*P122-tax_tables!$B$12*MAX(0,DL122-tax_tables!$B$11*P122))+MIN(tax_tables!$B$13,DM122)+MIN(tax_tables!$B$14*P122,X122)+AF122+(DL122&lt;=DP122)*MAX(0,DT122-MIN(0.03*DL122,tax_tables!$B$15*P122))</f>
        <v/>
      </c>
      <c r="DV122" s="14">
        <f>MAX(0,SUMPRODUCT((DO122&gt;tax_tables!$E$5:$E$16*P122)*(DO122-tax_tables!$E$5:$E$16*P122)*tax_tables!$G$5:$G$16)-tax_tables!$B$5*DU122-tax_tables!$B$16*DF122)</f>
        <v/>
      </c>
      <c r="DW122" s="14">
        <f>tax_tables!$B$35*Q122+(B122&gt;=65)*MAX(0,tax_tables!$B$36*Q122-tax_tables!$B$12*MAX(0,DL122-tax_tables!$B$37*Q122))+MIN(tax_tables!$B$38,DM122)+AF122+(DL122&lt;=DP122)*MAX(0,DT122-MIN(0.03*DL122,tax_tables!$B$39*Q122))</f>
        <v/>
      </c>
      <c r="DX122" s="14">
        <f>MAX(0,SUMPRODUCT((DO122&gt;tax_tables!$I$5:$I$16*Q122)*(DO122-tax_tables!$I$5:$I$16*Q122)*tax_tables!$K$5:$K$16)-tax_tables!$B$34*DW122-tax_tables!$B$40*DF122-MAX(0,tax_tables!$B$41*Q122-tax_tables!$B$43*MAX(0,DL122-tax_tables!$B$42*Q122)))</f>
        <v/>
      </c>
      <c r="DY122" s="14">
        <f>(tax_tables!$B$6-(tax_tables!$B$6-tax_tables!$B$7)*MIN(1,MAX(0,(DP122-tax_tables!$B$8*P122)/((tax_tables!$B$9-tax_tables!$B$8)*P122))))*P122+(C122&gt;=65)*MAX(0,tax_tables!$B$10*P122-tax_tables!$B$12*MAX(0,DP122-tax_tables!$B$11*P122))+MIN(tax_tables!$B$13,DQ122)+MIN(tax_tables!$B$14*P122,Y122)+AG122+(DL122&gt;DP122)*MAX(0,DT122-MIN(0.03*DP122,tax_tables!$B$15*P122))</f>
        <v/>
      </c>
      <c r="DZ122" s="14">
        <f>MAX(0,SUMPRODUCT((DS122&gt;tax_tables!$E$5:$E$16*P122)*(DS122-tax_tables!$E$5:$E$16*P122)*tax_tables!$G$5:$G$16)-tax_tables!$B$5*DY122-tax_tables!$B$16*DI122)</f>
        <v/>
      </c>
      <c r="EA122" s="14">
        <f>tax_tables!$B$35*Q122+(C122&gt;=65)*MAX(0,tax_tables!$B$36*Q122-tax_tables!$B$12*MAX(0,DP122-tax_tables!$B$37*Q122))+MIN(tax_tables!$B$38,DQ122)+AG122+(DL122&gt;DP122)*MAX(0,DT122-MIN(0.03*DP122,tax_tables!$B$39*Q122))</f>
        <v/>
      </c>
      <c r="EB122" s="14">
        <f>MAX(0,SUMPRODUCT((DS122&gt;tax_tables!$I$5:$I$16*Q122)*(DS122-tax_tables!$I$5:$I$16*Q122)*tax_tables!$K$5:$K$16)-tax_tables!$B$34*EA122-tax_tables!$B$40*DI122-MAX(0,tax_tables!$B$41*Q122-tax_tables!$B$43*MAX(0,DP122-tax_tables!$B$42*Q122)))</f>
        <v/>
      </c>
      <c r="EC122" s="14">
        <f>DV122+DZ122+DX122+EB122+DN122+DR122</f>
        <v/>
      </c>
      <c r="ED122" s="14">
        <f>CZ122+DB122+DC122+DD122</f>
        <v/>
      </c>
      <c r="EE122" s="14">
        <f>ED122+BQ122-AR122+BR122</f>
        <v/>
      </c>
    </row>
    <row r="123">
      <c r="A123" s="21">
        <f>A122+1</f>
        <v/>
      </c>
      <c r="B123" s="21">
        <f>A123-household!$B$6</f>
        <v/>
      </c>
      <c r="C123" s="21">
        <f>A123-household!$B$9</f>
        <v/>
      </c>
      <c r="D123" s="14">
        <f>AU123+AV123+AW123+AX123+BB123+BJ123+AM123</f>
        <v/>
      </c>
      <c r="E123" s="14">
        <f>CN123+AI123+AH123</f>
        <v/>
      </c>
      <c r="F123" s="14">
        <f>BS123+BT123+BU123+BV123</f>
        <v/>
      </c>
      <c r="G123" s="14">
        <f>CQ123+CR123+CU123+CD123+CE123+CA123-CV123+CJ123+CW123</f>
        <v/>
      </c>
      <c r="H123" s="22">
        <f>IF(BY123+CB123+CC123+CF123&lt;=0,"",G123/(BY123+CB123+CC123+CF123))</f>
        <v/>
      </c>
      <c r="I123" s="23">
        <f>ED123/O123</f>
        <v/>
      </c>
      <c r="J123" s="23">
        <f>EE123/O123</f>
        <v/>
      </c>
      <c r="K123" s="14">
        <f>MAX(0,CP123-CQ123-CR123-CU123)</f>
        <v/>
      </c>
      <c r="L123" s="10" t="n"/>
      <c r="M123" s="22">
        <f>IF(L123="",$B$18,L123)</f>
        <v/>
      </c>
      <c r="N123" s="13" t="n"/>
      <c r="O123" s="12">
        <f>(1+$B$17)^(A123-household!$B$4+1)</f>
        <v/>
      </c>
      <c r="P123" s="12">
        <f>(1+$B$17)^(A123-tax_tables!$B$4)</f>
        <v/>
      </c>
      <c r="Q123" s="12">
        <f>(1+$B$17)^(A123-tax_tables!$B$4-MAX(0,MIN(A123,tax_tables!$B$45)-tax_tables!$B$44+1))</f>
        <v/>
      </c>
      <c r="R123" s="12">
        <f>(1+$B$21)^(A123-household!$B$4+1)</f>
        <v/>
      </c>
      <c r="S123" s="12">
        <f>(1+$B$22)^(A123-household!$B$4+1)</f>
        <v/>
      </c>
      <c r="T123" s="12">
        <f>(1+$B$23)^(A123-household!$B$4+1)</f>
        <v/>
      </c>
      <c r="U123" s="21">
        <f>IF(A123&lt;$B$5,1,0)</f>
        <v/>
      </c>
      <c r="V123" s="21">
        <f>IF(A123&lt;$B$6,1,0)</f>
        <v/>
      </c>
      <c r="W123" s="21">
        <f>IF(U123+V123&gt;0,1,0)</f>
        <v/>
      </c>
      <c r="X123" s="14">
        <f>U123*$B$7*O123+SUMPRODUCT(($B$72:$B$77=A123)*($D$72:$D$77="Wages: person 1")*$C$72:$C$77)*O123</f>
        <v/>
      </c>
      <c r="Y123" s="14">
        <f>V123*$B$8*O123+SUMPRODUCT(($B$72:$B$77=A123)*($D$72:$D$77="Wages: person 2")*$C$72:$C$77)*O123</f>
        <v/>
      </c>
      <c r="Z123" s="14">
        <f>U123*$B$9*O123</f>
        <v/>
      </c>
      <c r="AA123" s="14">
        <f>V123*$B$10*O123</f>
        <v/>
      </c>
      <c r="AB123" s="14">
        <f>U123*$B$11*O123</f>
        <v/>
      </c>
      <c r="AC123" s="14">
        <f>V123*$B$12*O123</f>
        <v/>
      </c>
      <c r="AD123" s="14">
        <f>X123+Y123</f>
        <v/>
      </c>
      <c r="AE123" s="14">
        <f>AD123-Z123-AA123</f>
        <v/>
      </c>
      <c r="AF123" s="14">
        <f>tax_tables!$B$25*MAX(0,MIN(X123,tax_tables!$B$27*P123)-tax_tables!$B$26)+tax_tables!$B$28*MAX(0,MIN(X123,tax_tables!$B$29*P123)-tax_tables!$B$27*P123)+tax_tables!$B$30*MIN(X123,tax_tables!$B$31*P123)</f>
        <v/>
      </c>
      <c r="AG123" s="14">
        <f>tax_tables!$B$25*MAX(0,MIN(Y123,tax_tables!$B$27*P123)-tax_tables!$B$26)+tax_tables!$B$28*MAX(0,MIN(Y123,tax_tables!$B$29*P123)-tax_tables!$B$27*P123)+tax_tables!$B$30*MIN(Y123,tax_tables!$B$31*P123)</f>
        <v/>
      </c>
      <c r="AH123" s="14">
        <f>AF123+AG123</f>
        <v/>
      </c>
      <c r="AI123" s="14">
        <f>$B$13*AE123</f>
        <v/>
      </c>
      <c r="AJ123" s="14">
        <f>AD123-Z123-AA123-AH123-AI123</f>
        <v/>
      </c>
      <c r="AK123" s="14">
        <f>SUMPRODUCT(($B$72:$B$77=A123)*($D$72:$D$77="Other taxable income")*$C$72:$C$77)*O123</f>
        <v/>
      </c>
      <c r="AL123" s="14">
        <f>SUMPRODUCT(($B$72:$B$77=A123)*($D$72:$D$77="Tax-free money in")*$C$72:$C$77)*O123</f>
        <v/>
      </c>
      <c r="AM123" s="14">
        <f>SUMPRODUCT(($B$72:$B$77=A123)*($D$72:$D$77="Expense")*$C$72:$C$77)*O123</f>
        <v/>
      </c>
      <c r="AN123" s="21">
        <f>IF(OR($B$64="",A123&lt;$B$64),1,0)</f>
        <v/>
      </c>
      <c r="AO123" s="14">
        <f>AR122</f>
        <v/>
      </c>
      <c r="AP123" s="14">
        <f>AN123*AO123*properties!$J$2</f>
        <v/>
      </c>
      <c r="AQ123" s="14">
        <f>AN123*MIN(properties!$K$2,AO123+AP123)</f>
        <v/>
      </c>
      <c r="AR123" s="14">
        <f>AN123*(AO123+AP123-AQ123)</f>
        <v/>
      </c>
      <c r="AS123" s="14">
        <f>AN123*properties!$G$2*O123</f>
        <v/>
      </c>
      <c r="AT123" s="14">
        <f>(1-AN123)*$E$64*O123</f>
        <v/>
      </c>
      <c r="AU123" s="14">
        <f>AQ123+AS123+AT123</f>
        <v/>
      </c>
      <c r="AV123" s="14">
        <f>SUMIF(budget!$A$2:$A$300,"household",budget!$F$2:$F$300)*O123*IF(N123="",1,N123)</f>
        <v/>
      </c>
      <c r="AW123" s="14">
        <f>SUMPRODUCT((other_budget!$C$2:$C$30&lt;=A123)*(other_budget!$D$2:$D$30&gt;=A123)*other_budget!$B$2:$B$30)*O123</f>
        <v/>
      </c>
      <c r="AX123" s="14">
        <f>SUMPRODUCT((kids_budget!$D$2:$D$40&lt;=A123)*(kids_budget!$E$2:$E$40&gt;=A123)*(kids_budget!$G$2:$G$40&lt;&gt;"college_funds")*kids_budget!$C$2:$C$40*((kids_budget!$F$2:$F$40="college")*S123+(kids_budget!$F$2:$F$40&lt;&gt;"college")*O123))</f>
        <v/>
      </c>
      <c r="AY123" s="14">
        <f>SUMPRODUCT((kids_budget!$D$2:$D$40&lt;=A123)*(kids_budget!$E$2:$E$40&gt;=A123)*(kids_budget!$G$2:$G$40="college_funds")*kids_budget!$C$2:$C$40*((kids_budget!$F$2:$F$40="college")*S123+(kids_budget!$F$2:$F$40&lt;&gt;"college")*O123))</f>
        <v/>
      </c>
      <c r="AZ123" s="14">
        <f>BC122</f>
        <v/>
      </c>
      <c r="BA123" s="14">
        <f>MIN(AY123,AZ123*(1+M123))</f>
        <v/>
      </c>
      <c r="BB123" s="14">
        <f>AY123-BA123</f>
        <v/>
      </c>
      <c r="BC123" s="14">
        <f>AZ123*(1+M123)-BA123</f>
        <v/>
      </c>
      <c r="BD123" s="14">
        <f>W123*healthcare!$B$2*R123</f>
        <v/>
      </c>
      <c r="BE123" s="21">
        <f>(1-W123)*2</f>
        <v/>
      </c>
      <c r="BF123" s="14">
        <f>BE123*healthcare!$B$3*12*R123</f>
        <v/>
      </c>
      <c r="BG123" s="14">
        <f>BE123*healthcare!$B$4*R123</f>
        <v/>
      </c>
      <c r="BH123" s="21">
        <f>AND(B123&gt;=$B$44,B123&lt;$B$44+$B$45)*1+AND(C123&gt;=$B$46,C123&lt;$B$46+$B$47)*1</f>
        <v/>
      </c>
      <c r="BI123" s="14">
        <f>BH123*$B$48*T123</f>
        <v/>
      </c>
      <c r="BJ123" s="14">
        <f>BD123+BF123+BG123+BI123</f>
        <v/>
      </c>
      <c r="BK123" s="14">
        <f>SUMPRODUCT((1-($B$65:$B$68&gt;0)*(A123&gt;=$B$65:$B$68))*(1-(($C$65:$C$68&gt;0)*(A123&gt;=$C$65:$C$68)))*(properties!$L$3:$L$6-properties!$M$3:$M$6))*O123+SUMPRODUCT((1-($B$65:$B$68&gt;0)*(A123&gt;=$B$65:$B$68))*(($C$65:$C$68&gt;0)*(A123&gt;=$C$65:$C$68))*($D$65:$D$68-$E$65:$E$68))*O123</f>
        <v/>
      </c>
      <c r="BL123" s="14">
        <f>SUMPRODUCT((1-($B$65:$B$68&gt;0)*(A123&gt;=$B$65:$B$68))*properties!$N$3:$N$6*(A123&lt;=properties!$O$3:$O$6))</f>
        <v/>
      </c>
      <c r="BM123" s="14">
        <f>MAX(0,BK123-BL123)</f>
        <v/>
      </c>
      <c r="BN123" s="14">
        <f>SUMPRODUCT(($B$64:$B$68=A123)*$G$64:$G$68)</f>
        <v/>
      </c>
      <c r="BO123" s="14">
        <f>SUMPRODUCT(($B$64:$B$68=A123)*$H$64:$H$68)</f>
        <v/>
      </c>
      <c r="BP123" s="14">
        <f>SUMPRODUCT(($B$64:$B$68=A123)*$I$64:$I$68)</f>
        <v/>
      </c>
      <c r="BQ123" s="14">
        <f>AN123*properties!$C$2*(1+properties!$D$2)^(A123-household!$B$4+1)</f>
        <v/>
      </c>
      <c r="BR123" s="14">
        <f>SUMPRODUCT((1-($B$65:$B$68&gt;0)*(A123&gt;=$B$65:$B$68))*properties!$C$3:$C$6*(1+properties!$D$3:$D$6)^(A123-household!$B$4+1))</f>
        <v/>
      </c>
      <c r="BS123" s="14">
        <f>IF(A123&gt;=household!$B$6+$B$26,household!$B$11*12*$B$30*O123,0)</f>
        <v/>
      </c>
      <c r="BT123" s="14">
        <f>IF(A123&gt;=household!$B$9+$B$27,household!$B$12*12*$B$31*O123,0)</f>
        <v/>
      </c>
      <c r="BU123" s="14">
        <f>IF(A123&gt;=household!$B$6+$B$28,tax_tables!$B$19*12*P123*MIN(1,household!$B$13/40)*$B$32*(1+tax_tables!$B$20*(B123&gt;=75)),0)</f>
        <v/>
      </c>
      <c r="BV123" s="14">
        <f>IF(A123&gt;=household!$B$9+$B$29,tax_tables!$B$19*12*P123*MIN(1,household!$B$14/40)*$B$33*(1+tax_tables!$B$20*(C123&gt;=75)),0)</f>
        <v/>
      </c>
      <c r="BW123" s="14">
        <f>IF(AND($B$36&lt;&gt;0,A123&gt;=household!$B$6+$B$37),$B$36*(1+$B$17)^(MAX(household!$B$6+$B$37,household!$B$4-1)-household!$B$4+1)*(1+$B$40*$B$17)^(A123-MAX(household!$B$6+$B$37,household!$B$4-1)),0)</f>
        <v/>
      </c>
      <c r="BX123" s="14">
        <f>IF(AND($B$38&lt;&gt;0,A123&gt;=household!$B$9+$B$39),$B$38*(1+$B$17)^(MAX(household!$B$9+$B$39,household!$B$4-1)-household!$B$4+1)*(1+$B$40*$B$17)^(A123-MAX(household!$B$9+$B$39,household!$B$4-1)),0)</f>
        <v/>
      </c>
      <c r="BY123" s="14">
        <f>CZ122</f>
        <v/>
      </c>
      <c r="BZ123" s="14">
        <f>DA122</f>
        <v/>
      </c>
      <c r="CA123" s="14">
        <f>$B$19*BY123</f>
        <v/>
      </c>
      <c r="CB123" s="14">
        <f>DB122</f>
        <v/>
      </c>
      <c r="CC123" s="14">
        <f>DC122</f>
        <v/>
      </c>
      <c r="CD123" s="14">
        <f>IF(B123&gt;=tax_tables!$B$46,MAX(0,CB123)*INDEX(tax_tables!$N$5:$N$54,MATCH(MIN(B123-1,120),tax_tables!$M$5:$M$54,0)),0)</f>
        <v/>
      </c>
      <c r="CE123" s="14">
        <f>IF(C123&gt;=tax_tables!$B$46,MAX(0,CC123)*INDEX(tax_tables!$N$5:$N$54,MATCH(MIN(C123-1,120),tax_tables!$M$5:$M$54,0)),0)</f>
        <v/>
      </c>
      <c r="CF123" s="14">
        <f>DD122</f>
        <v/>
      </c>
      <c r="CG123" s="14">
        <f>IF(OR($B$52="",$B$53=""),0,IF(AND(A123&gt;=$B$52,A123&lt;=$B$53),$B$51*O123,0))</f>
        <v/>
      </c>
      <c r="CH123" s="14">
        <f>MAX(0,CB123*(1+M123)-CD123)</f>
        <v/>
      </c>
      <c r="CI123" s="14">
        <f>MAX(0,CC123*(1+M123)-CE123)</f>
        <v/>
      </c>
      <c r="CJ123" s="14">
        <f>MIN(CG123,CH123+CI123)</f>
        <v/>
      </c>
      <c r="CK123" s="14">
        <f>IF(CH123+CI123&gt;1,CJ123*CH123/(CH123+CI123),0)</f>
        <v/>
      </c>
      <c r="CL123" s="14">
        <f>CJ123-CK123</f>
        <v/>
      </c>
      <c r="CM123" s="14">
        <f>CM122-CW122+CU122+tax_tables!$B$32*P123*2</f>
        <v/>
      </c>
      <c r="CN123" s="14">
        <f>EC122-AI122</f>
        <v/>
      </c>
      <c r="CO123" s="14">
        <f>AJ123+F123+BW123+BX123+BK123+CA123+CD123+CE123+BN123+AK123+AL123+CJ123</f>
        <v/>
      </c>
      <c r="CP123" s="14">
        <f>D123+CN123-CO123</f>
        <v/>
      </c>
      <c r="CQ123" s="14">
        <f>MAX(0,MIN(CP123,BY123*(1+M123-$B$19)))</f>
        <v/>
      </c>
      <c r="CR123" s="14">
        <f>MAX(0,MIN(CP123-CQ123,(CH123-CK123)+(CI123-CL123)))</f>
        <v/>
      </c>
      <c r="CS123" s="14">
        <f>IF((CH123-CK123)+(CI123-CL123)&gt;1,CR123*(CH123-CK123)/((CH123-CK123)+(CI123-CL123)),0)</f>
        <v/>
      </c>
      <c r="CT123" s="14">
        <f>CR123-CS123</f>
        <v/>
      </c>
      <c r="CU123" s="14">
        <f>MAX(0,MIN(CP123-CQ123-CR123,CF123*(1+M123)))</f>
        <v/>
      </c>
      <c r="CV123" s="14">
        <f>MAX(0,-CP123)</f>
        <v/>
      </c>
      <c r="CW123" s="14">
        <f>MIN(CV123,MAX(0,CM123))</f>
        <v/>
      </c>
      <c r="CX123" s="22">
        <f>IF(BY123&gt;0,MAX(0,1-BZ123/BY123),0)</f>
        <v/>
      </c>
      <c r="CY123" s="14">
        <f>CQ123*CX123</f>
        <v/>
      </c>
      <c r="CZ123" s="14">
        <f>BY123*(1+M123-$B$19)-CQ123+(CV123-CW123)</f>
        <v/>
      </c>
      <c r="DA123" s="14">
        <f>BZ123-(CQ123-CY123)+(CV123-CW123)</f>
        <v/>
      </c>
      <c r="DB123" s="14">
        <f>CB123*(1+M123)-CD123-CS123-CK123+Z123+AB123</f>
        <v/>
      </c>
      <c r="DC123" s="14">
        <f>CC123*(1+M123)-CE123-CT123-CL123+AA123+AC123</f>
        <v/>
      </c>
      <c r="DD123" s="14">
        <f>CF123*(1+M123)-CU123+CW123</f>
        <v/>
      </c>
      <c r="DE123" s="14">
        <f>CD123+CK123+CS123</f>
        <v/>
      </c>
      <c r="DF123" s="14">
        <f>CA123*household!$B$15*$B$20*(1+tax_tables!$B$17)</f>
        <v/>
      </c>
      <c r="DG123" s="14">
        <f>X123+BS123+BU123+BW123+DE123+DF123+CA123*household!$B$15*(1-$B$20)+(CY123+BO123)*household!$B$15*tax_tables!$B$18+(BP123+BM123+AK123)*household!$B$15-Z123</f>
        <v/>
      </c>
      <c r="DH123" s="14">
        <f>CE123+CL123+CT123</f>
        <v/>
      </c>
      <c r="DI123" s="14">
        <f>CA123*(1-household!$B$15)*$B$20*(1+tax_tables!$B$17)</f>
        <v/>
      </c>
      <c r="DJ123" s="14">
        <f>Y123+BT123+BV123+BX123+DH123+DI123+CA123*(1-household!$B$15)*(1-$B$20)+(CY123+BO123)*(1-household!$B$15)*tax_tables!$B$18+(BP123+BM123+AK123)*(1-household!$B$15)-AA123</f>
        <v/>
      </c>
      <c r="DK123" s="14">
        <f>IF((DG123&gt;=DJ123),MIN(0.5*(BW123+IF(B123&gt;=65,DE123,0)),MAX(0,(DG123-DJ123)/2)),MIN(0.5*(BX123+IF(C123&gt;=65,DH123,0)),MAX(0,(DJ123-DG123)/2)))</f>
        <v/>
      </c>
      <c r="DL123" s="14">
        <f>DG123+IF((DG123&gt;=DJ123),-DK123,DK123)</f>
        <v/>
      </c>
      <c r="DM123" s="14">
        <f>BW123+IF(B123&gt;=65,DE123,0)+IF((DG123&gt;=DJ123),-DK123,DK123)</f>
        <v/>
      </c>
      <c r="DN123" s="14">
        <f>MIN(BU123,tax_tables!$B$22*MAX(0,DL123-tax_tables!$B$21*P123))</f>
        <v/>
      </c>
      <c r="DO123" s="14">
        <f>MAX(0,DL123-DN123)</f>
        <v/>
      </c>
      <c r="DP123" s="14">
        <f>DJ123+IF((DG123&gt;=DJ123),DK123,-DK123)</f>
        <v/>
      </c>
      <c r="DQ123" s="14">
        <f>BX123+IF(C123&gt;=65,DH123,0)+IF((DG123&gt;=DJ123),DK123,-DK123)</f>
        <v/>
      </c>
      <c r="DR123" s="14">
        <f>MIN(BV123,tax_tables!$B$22*MAX(0,DP123-tax_tables!$B$21*P123))</f>
        <v/>
      </c>
      <c r="DS123" s="14">
        <f>MAX(0,DP123-DR123)</f>
        <v/>
      </c>
      <c r="DT123" s="14">
        <f>BJ123-BD123</f>
        <v/>
      </c>
      <c r="DU123" s="14">
        <f>(tax_tables!$B$6-(tax_tables!$B$6-tax_tables!$B$7)*MIN(1,MAX(0,(DL123-tax_tables!$B$8*P123)/((tax_tables!$B$9-tax_tables!$B$8)*P123))))*P123+(B123&gt;=65)*MAX(0,tax_tables!$B$10*P123-tax_tables!$B$12*MAX(0,DL123-tax_tables!$B$11*P123))+MIN(tax_tables!$B$13,DM123)+MIN(tax_tables!$B$14*P123,X123)+AF123+(DL123&lt;=DP123)*MAX(0,DT123-MIN(0.03*DL123,tax_tables!$B$15*P123))</f>
        <v/>
      </c>
      <c r="DV123" s="14">
        <f>MAX(0,SUMPRODUCT((DO123&gt;tax_tables!$E$5:$E$16*P123)*(DO123-tax_tables!$E$5:$E$16*P123)*tax_tables!$G$5:$G$16)-tax_tables!$B$5*DU123-tax_tables!$B$16*DF123)</f>
        <v/>
      </c>
      <c r="DW123" s="14">
        <f>tax_tables!$B$35*Q123+(B123&gt;=65)*MAX(0,tax_tables!$B$36*Q123-tax_tables!$B$12*MAX(0,DL123-tax_tables!$B$37*Q123))+MIN(tax_tables!$B$38,DM123)+AF123+(DL123&lt;=DP123)*MAX(0,DT123-MIN(0.03*DL123,tax_tables!$B$39*Q123))</f>
        <v/>
      </c>
      <c r="DX123" s="14">
        <f>MAX(0,SUMPRODUCT((DO123&gt;tax_tables!$I$5:$I$16*Q123)*(DO123-tax_tables!$I$5:$I$16*Q123)*tax_tables!$K$5:$K$16)-tax_tables!$B$34*DW123-tax_tables!$B$40*DF123-MAX(0,tax_tables!$B$41*Q123-tax_tables!$B$43*MAX(0,DL123-tax_tables!$B$42*Q123)))</f>
        <v/>
      </c>
      <c r="DY123" s="14">
        <f>(tax_tables!$B$6-(tax_tables!$B$6-tax_tables!$B$7)*MIN(1,MAX(0,(DP123-tax_tables!$B$8*P123)/((tax_tables!$B$9-tax_tables!$B$8)*P123))))*P123+(C123&gt;=65)*MAX(0,tax_tables!$B$10*P123-tax_tables!$B$12*MAX(0,DP123-tax_tables!$B$11*P123))+MIN(tax_tables!$B$13,DQ123)+MIN(tax_tables!$B$14*P123,Y123)+AG123+(DL123&gt;DP123)*MAX(0,DT123-MIN(0.03*DP123,tax_tables!$B$15*P123))</f>
        <v/>
      </c>
      <c r="DZ123" s="14">
        <f>MAX(0,SUMPRODUCT((DS123&gt;tax_tables!$E$5:$E$16*P123)*(DS123-tax_tables!$E$5:$E$16*P123)*tax_tables!$G$5:$G$16)-tax_tables!$B$5*DY123-tax_tables!$B$16*DI123)</f>
        <v/>
      </c>
      <c r="EA123" s="14">
        <f>tax_tables!$B$35*Q123+(C123&gt;=65)*MAX(0,tax_tables!$B$36*Q123-tax_tables!$B$12*MAX(0,DP123-tax_tables!$B$37*Q123))+MIN(tax_tables!$B$38,DQ123)+AG123+(DL123&gt;DP123)*MAX(0,DT123-MIN(0.03*DP123,tax_tables!$B$39*Q123))</f>
        <v/>
      </c>
      <c r="EB123" s="14">
        <f>MAX(0,SUMPRODUCT((DS123&gt;tax_tables!$I$5:$I$16*Q123)*(DS123-tax_tables!$I$5:$I$16*Q123)*tax_tables!$K$5:$K$16)-tax_tables!$B$34*EA123-tax_tables!$B$40*DI123-MAX(0,tax_tables!$B$41*Q123-tax_tables!$B$43*MAX(0,DP123-tax_tables!$B$42*Q123)))</f>
        <v/>
      </c>
      <c r="EC123" s="14">
        <f>DV123+DZ123+DX123+EB123+DN123+DR123</f>
        <v/>
      </c>
      <c r="ED123" s="14">
        <f>CZ123+DB123+DC123+DD123</f>
        <v/>
      </c>
      <c r="EE123" s="14">
        <f>ED123+BQ123-AR123+BR123</f>
        <v/>
      </c>
    </row>
  </sheetData>
  <mergeCells count="14">
    <mergeCell ref="BW79:BX79"/>
    <mergeCell ref="A2:L2"/>
    <mergeCell ref="AV79:BC79"/>
    <mergeCell ref="BY79:DD79"/>
    <mergeCell ref="DE79:EC79"/>
    <mergeCell ref="BK79:BR79"/>
    <mergeCell ref="AN79:AU79"/>
    <mergeCell ref="BS79:BV79"/>
    <mergeCell ref="U79:AM79"/>
    <mergeCell ref="BD79:BJ79"/>
    <mergeCell ref="L79:T79"/>
    <mergeCell ref="ED79:EE79"/>
    <mergeCell ref="A69:I69"/>
    <mergeCell ref="A79:K79"/>
  </mergeCells>
  <dataValidations count="1">
    <dataValidation sqref="D72 D73 D74 D75 D76 D77" showDropDown="0" showInputMessage="0" showErrorMessage="0" allowBlank="1" type="list">
      <formula1>"Wages: person 1,Wages: person 2,Other taxable income,Tax-free money in,Expense"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4" customWidth="1" min="1" max="1"/>
    <col width="18" customWidth="1" min="2" max="2"/>
    <col width="110" customWidth="1" min="3" max="3"/>
  </cols>
  <sheetData>
    <row r="1">
      <c r="A1" s="18" t="inlineStr">
        <is>
          <t>key</t>
        </is>
      </c>
      <c r="B1" s="18" t="inlineStr">
        <is>
          <t>value</t>
        </is>
      </c>
      <c r="C1" s="18" t="inlineStr">
        <is>
          <t>notes</t>
        </is>
      </c>
    </row>
    <row r="2">
      <c r="A2" t="inlineStr">
        <is>
          <t>country</t>
        </is>
      </c>
      <c r="B2" s="24" t="inlineStr">
        <is>
          <t>CA</t>
        </is>
      </c>
      <c r="C2" t="inlineStr">
        <is>
          <t>US = United States, CA = Canada. Fixed when the workbook is built</t>
        </is>
      </c>
    </row>
    <row r="3">
      <c r="A3" t="inlineStr">
        <is>
          <t>region</t>
        </is>
      </c>
      <c r="B3" s="19" t="inlineStr">
        <is>
          <t>British Columbia</t>
        </is>
      </c>
      <c r="C3" t="inlineStr">
        <is>
          <t>State or province (its tax brackets are on the tax_tables tab)</t>
        </is>
      </c>
    </row>
    <row r="4">
      <c r="A4" t="inlineStr">
        <is>
          <t>start_year</t>
        </is>
      </c>
      <c r="B4" s="19" t="n">
        <v>2027</v>
      </c>
      <c r="C4" t="inlineStr">
        <is>
          <t>First year the model covers. Balances on the assets tab are as of 1 January of it; 'today's dollars' are the year before</t>
        </is>
      </c>
    </row>
    <row r="5">
      <c r="A5" t="inlineStr">
        <is>
          <t>p1_name</t>
        </is>
      </c>
      <c r="B5" s="19" t="inlineStr">
        <is>
          <t>Sam</t>
        </is>
      </c>
      <c r="C5" t="inlineStr">
        <is>
          <t>Person 1</t>
        </is>
      </c>
    </row>
    <row r="6">
      <c r="A6" t="inlineStr">
        <is>
          <t>p1_born</t>
        </is>
      </c>
      <c r="B6" s="19" t="n">
        <v>1967</v>
      </c>
      <c r="C6" t="inlineStr">
        <is>
          <t>Birth year</t>
        </is>
      </c>
    </row>
    <row r="7">
      <c r="A7" t="inlineStr">
        <is>
          <t>p1_sex</t>
        </is>
      </c>
      <c r="B7" s="19" t="inlineStr">
        <is>
          <t>M</t>
        </is>
      </c>
      <c r="C7" t="inlineStr">
        <is>
          <t>M or F: which column of the life table the Monte Carlo uses for person 1</t>
        </is>
      </c>
    </row>
    <row r="8">
      <c r="A8" t="inlineStr">
        <is>
          <t>p2_name</t>
        </is>
      </c>
      <c r="B8" s="19" t="inlineStr">
        <is>
          <t>Taylor</t>
        </is>
      </c>
      <c r="C8" t="inlineStr">
        <is>
          <t>Person 2</t>
        </is>
      </c>
    </row>
    <row r="9">
      <c r="A9" t="inlineStr">
        <is>
          <t>p2_born</t>
        </is>
      </c>
      <c r="B9" s="19" t="n">
        <v>1969</v>
      </c>
      <c r="C9" t="inlineStr">
        <is>
          <t>Birth year</t>
        </is>
      </c>
    </row>
    <row r="10">
      <c r="A10" t="inlineStr">
        <is>
          <t>p2_sex</t>
        </is>
      </c>
      <c r="B10" s="19" t="inlineStr">
        <is>
          <t>F</t>
        </is>
      </c>
      <c r="C10" t="inlineStr">
        <is>
          <t>M or F for person 2</t>
        </is>
      </c>
    </row>
    <row r="11">
      <c r="A11" t="inlineStr">
        <is>
          <t>p1_cpp_at_65</t>
        </is>
      </c>
      <c r="B11" s="8" t="n">
        <v>1320</v>
      </c>
      <c r="C11" t="inlineStr">
        <is>
          <t>Person 1's CPP at 65, per month, today's $ - from My Service Canada Account</t>
        </is>
      </c>
    </row>
    <row r="12">
      <c r="A12" t="inlineStr">
        <is>
          <t>p2_cpp_at_65</t>
        </is>
      </c>
      <c r="B12" s="8" t="n">
        <v>1040</v>
      </c>
      <c r="C12" t="inlineStr">
        <is>
          <t>Person 2's CPP at 65</t>
        </is>
      </c>
    </row>
    <row r="13">
      <c r="A13" t="inlineStr">
        <is>
          <t>p1_oas_years</t>
        </is>
      </c>
      <c r="B13" s="19" t="n">
        <v>40</v>
      </c>
      <c r="C13" t="inlineStr">
        <is>
          <t>Person 1's years in Canada after 18 (40 = full OAS)</t>
        </is>
      </c>
    </row>
    <row r="14">
      <c r="A14" t="inlineStr">
        <is>
          <t>p2_oas_years</t>
        </is>
      </c>
      <c r="B14" s="19" t="n">
        <v>34</v>
      </c>
      <c r="C14" t="inlineStr">
        <is>
          <t>Person 2's years in Canada after 18</t>
        </is>
      </c>
    </row>
    <row r="15">
      <c r="A15" t="inlineStr">
        <is>
          <t>joint_share_p1</t>
        </is>
      </c>
      <c r="B15" s="13" t="n">
        <v>0.5</v>
      </c>
      <c r="C15" t="inlineStr">
        <is>
          <t>Share of joint investment and rental income taxed to person 1 (usually 50%)</t>
        </is>
      </c>
    </row>
    <row r="16">
      <c r="A16" t="inlineStr">
        <is>
          <t>tfsa_room</t>
        </is>
      </c>
      <c r="B16" s="8" t="n">
        <v>42000</v>
      </c>
      <c r="C16" t="inlineStr">
        <is>
          <t>Unused TFSA room for the two of you on 1 January of the first year (incl. that year's new room)</t>
        </is>
      </c>
    </row>
    <row r="18">
      <c r="A18" s="2" t="inlineStr">
        <is>
          <t>Kids</t>
        </is>
      </c>
    </row>
    <row r="19">
      <c r="A19" s="18" t="inlineStr">
        <is>
          <t>name</t>
        </is>
      </c>
      <c r="B19" s="18" t="inlineStr">
        <is>
          <t>born</t>
        </is>
      </c>
      <c r="C19" s="18" t="inlineStr">
        <is>
          <t>(not used)</t>
        </is>
      </c>
      <c r="D19" s="18" t="inlineStr">
        <is>
          <t>notes</t>
        </is>
      </c>
    </row>
    <row r="20">
      <c r="A20" s="19" t="inlineStr">
        <is>
          <t>Morgan</t>
        </is>
      </c>
      <c r="B20" s="19" t="n">
        <v>2007</v>
      </c>
      <c r="C20" s="19" t="n"/>
      <c r="D20" t="inlineStr">
        <is>
          <t>At UBC</t>
        </is>
      </c>
    </row>
    <row r="21">
      <c r="A21" s="19" t="inlineStr">
        <is>
          <t>Jamie</t>
        </is>
      </c>
      <c r="B21" s="19" t="n">
        <v>2010</v>
      </c>
      <c r="C21" s="19" t="n"/>
      <c r="D21" t="inlineStr">
        <is>
          <t>Starts university in 2028</t>
        </is>
      </c>
    </row>
    <row r="22">
      <c r="A22" s="19" t="n"/>
      <c r="B22" s="19" t="n"/>
      <c r="C22" s="19" t="n"/>
    </row>
    <row r="23">
      <c r="A23" s="19" t="n"/>
      <c r="B23" s="19" t="n"/>
      <c r="C23" s="19" t="n"/>
    </row>
    <row r="24">
      <c r="A24" s="19" t="n"/>
      <c r="B24" s="19" t="n"/>
      <c r="C24" s="19" t="n"/>
    </row>
    <row r="25">
      <c r="A25" s="19" t="n"/>
      <c r="B25" s="19" t="n"/>
      <c r="C25" s="19" t="n"/>
    </row>
    <row r="26">
      <c r="A26" s="19" t="n"/>
      <c r="B26" s="19" t="n"/>
      <c r="C26" s="19" t="n"/>
    </row>
    <row r="27">
      <c r="A27" s="19" t="n"/>
      <c r="B27" s="19" t="n"/>
      <c r="C27" s="19" t="n"/>
    </row>
    <row r="28">
      <c r="A28" t="inlineStr">
        <is>
          <t>Kids' costs are on the kids_budget tab (one line per kid and cost).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13" customWidth="1" min="5" max="5"/>
    <col width="15" customWidth="1" min="6" max="6"/>
    <col width="22" customWidth="1" min="7" max="7"/>
    <col width="8" customWidth="1" min="8" max="8"/>
    <col width="70" customWidth="1" min="9" max="9"/>
    <col width="44" customWidth="1" min="11" max="11"/>
    <col width="14" customWidth="1" min="12" max="12"/>
  </cols>
  <sheetData>
    <row r="1">
      <c r="A1" s="15" t="inlineStr">
        <is>
          <t>model_line</t>
        </is>
      </c>
      <c r="B1" s="15" t="inlineStr">
        <is>
          <t>expense_group</t>
        </is>
      </c>
      <c r="C1" s="15" t="inlineStr">
        <is>
          <t>category</t>
        </is>
      </c>
      <c r="D1" s="15" t="inlineStr">
        <is>
          <t>subcategory</t>
        </is>
      </c>
      <c r="E1" s="15" t="inlineStr">
        <is>
          <t>annual_actual</t>
        </is>
      </c>
      <c r="F1" s="15" t="inlineStr">
        <is>
          <t>retirement_budget</t>
        </is>
      </c>
      <c r="G1" s="15" t="inlineStr">
        <is>
          <t>source_period</t>
        </is>
      </c>
      <c r="H1" s="15" t="inlineStr">
        <is>
          <t>n_transactions</t>
        </is>
      </c>
      <c r="I1" s="15" t="inlineStr">
        <is>
          <t>notes</t>
        </is>
      </c>
      <c r="K1" s="2" t="inlineStr">
        <is>
          <t>Household living budget used by the model</t>
        </is>
      </c>
      <c r="L1" s="25">
        <f>SUMIF($A$2:$A$300,"household",$F$2:$F$300)</f>
        <v/>
      </c>
    </row>
    <row r="2">
      <c r="A2" s="19" t="inlineStr">
        <is>
          <t>household</t>
        </is>
      </c>
      <c r="B2" t="inlineStr">
        <is>
          <t>Essential</t>
        </is>
      </c>
      <c r="C2" t="inlineStr">
        <is>
          <t>Groceries</t>
        </is>
      </c>
      <c r="D2" t="inlineStr">
        <is>
          <t>General</t>
        </is>
      </c>
      <c r="E2" s="14" t="n">
        <v>17200</v>
      </c>
      <c r="F2" s="8" t="n">
        <v>17200</v>
      </c>
      <c r="G2" t="inlineStr">
        <is>
          <t>example</t>
        </is>
      </c>
      <c r="H2" t="n">
        <v>230</v>
      </c>
      <c r="K2" t="inlineStr">
        <is>
          <t>All lines, 12-month actual</t>
        </is>
      </c>
      <c r="L2" s="14">
        <f>SUM($E$2:$E$300)</f>
        <v/>
      </c>
    </row>
    <row r="3">
      <c r="A3" s="19" t="inlineStr">
        <is>
          <t>household</t>
        </is>
      </c>
      <c r="B3" t="inlineStr">
        <is>
          <t>Essential</t>
        </is>
      </c>
      <c r="C3" t="inlineStr">
        <is>
          <t>Utilities</t>
        </is>
      </c>
      <c r="D3" t="inlineStr">
        <is>
          <t>Electric, gas, water</t>
        </is>
      </c>
      <c r="E3" s="14" t="n">
        <v>2600</v>
      </c>
      <c r="F3" s="8" t="n">
        <v>2600</v>
      </c>
      <c r="G3" t="inlineStr">
        <is>
          <t>example</t>
        </is>
      </c>
      <c r="H3" t="n">
        <v>12</v>
      </c>
    </row>
    <row r="4">
      <c r="A4" s="19" t="inlineStr">
        <is>
          <t>household</t>
        </is>
      </c>
      <c r="B4" t="inlineStr">
        <is>
          <t>Essential</t>
        </is>
      </c>
      <c r="C4" t="inlineStr">
        <is>
          <t>Utilities</t>
        </is>
      </c>
      <c r="D4" t="inlineStr">
        <is>
          <t>Phone &amp; internet</t>
        </is>
      </c>
      <c r="E4" s="14" t="n">
        <v>2900</v>
      </c>
      <c r="F4" s="8" t="n">
        <v>2900</v>
      </c>
      <c r="G4" t="inlineStr">
        <is>
          <t>example</t>
        </is>
      </c>
      <c r="H4" t="n">
        <v>24</v>
      </c>
      <c r="K4" s="3" t="inlineStr">
        <is>
          <t>model_line: 'household' lines are summed and grow with inflation. Other lines (housing, healthcare, taxes, kids) are modeled on their own tabs and shown here only for reference.</t>
        </is>
      </c>
    </row>
    <row r="5">
      <c r="A5" s="19" t="inlineStr">
        <is>
          <t>household</t>
        </is>
      </c>
      <c r="B5" t="inlineStr">
        <is>
          <t>Essential</t>
        </is>
      </c>
      <c r="C5" t="inlineStr">
        <is>
          <t>Insurance</t>
        </is>
      </c>
      <c r="D5" t="inlineStr">
        <is>
          <t>General</t>
        </is>
      </c>
      <c r="E5" s="14" t="n">
        <v>3800</v>
      </c>
      <c r="F5" s="8" t="n">
        <v>3800</v>
      </c>
      <c r="G5" t="inlineStr">
        <is>
          <t>example</t>
        </is>
      </c>
      <c r="H5" t="n">
        <v>4</v>
      </c>
      <c r="K5" s="3" t="inlineStr">
        <is>
          <t>Edit column F (retirement_budget) to test a different budget; column E is what you actually spent.</t>
        </is>
      </c>
    </row>
    <row r="6">
      <c r="A6" s="19" t="inlineStr">
        <is>
          <t>household</t>
        </is>
      </c>
      <c r="B6" t="inlineStr">
        <is>
          <t>Essential</t>
        </is>
      </c>
      <c r="C6" t="inlineStr">
        <is>
          <t>Transportation</t>
        </is>
      </c>
      <c r="D6" t="inlineStr">
        <is>
          <t>Gas &amp; parking</t>
        </is>
      </c>
      <c r="E6" s="14" t="n">
        <v>4200</v>
      </c>
      <c r="F6" s="8" t="n">
        <v>4200</v>
      </c>
      <c r="G6" t="inlineStr">
        <is>
          <t>example</t>
        </is>
      </c>
      <c r="H6" t="n">
        <v>120</v>
      </c>
    </row>
    <row r="7">
      <c r="A7" s="19" t="inlineStr">
        <is>
          <t>household</t>
        </is>
      </c>
      <c r="B7" t="inlineStr">
        <is>
          <t>Essential</t>
        </is>
      </c>
      <c r="C7" t="inlineStr">
        <is>
          <t>Transportation</t>
        </is>
      </c>
      <c r="D7" t="inlineStr">
        <is>
          <t>Car maintenance</t>
        </is>
      </c>
      <c r="E7" s="14" t="n">
        <v>1600</v>
      </c>
      <c r="F7" s="8" t="n">
        <v>1600</v>
      </c>
      <c r="G7" t="inlineStr">
        <is>
          <t>example</t>
        </is>
      </c>
      <c r="H7" t="n">
        <v>4</v>
      </c>
    </row>
    <row r="8">
      <c r="A8" s="19" t="inlineStr">
        <is>
          <t>household</t>
        </is>
      </c>
      <c r="B8" t="inlineStr">
        <is>
          <t>Essential</t>
        </is>
      </c>
      <c r="C8" t="inlineStr">
        <is>
          <t>Personal Care</t>
        </is>
      </c>
      <c r="D8" t="inlineStr">
        <is>
          <t>General</t>
        </is>
      </c>
      <c r="E8" s="14" t="n">
        <v>1900</v>
      </c>
      <c r="F8" s="8" t="n">
        <v>1900</v>
      </c>
      <c r="G8" t="inlineStr">
        <is>
          <t>example</t>
        </is>
      </c>
      <c r="H8" t="n">
        <v>28</v>
      </c>
    </row>
    <row r="9">
      <c r="A9" s="19" t="inlineStr">
        <is>
          <t>household</t>
        </is>
      </c>
      <c r="B9" t="inlineStr">
        <is>
          <t>Discretionary</t>
        </is>
      </c>
      <c r="C9" t="inlineStr">
        <is>
          <t>Dining</t>
        </is>
      </c>
      <c r="D9" t="inlineStr">
        <is>
          <t>Restaurants &amp; takeout</t>
        </is>
      </c>
      <c r="E9" s="14" t="n">
        <v>8900</v>
      </c>
      <c r="F9" s="8" t="n">
        <v>8900</v>
      </c>
      <c r="G9" t="inlineStr">
        <is>
          <t>example</t>
        </is>
      </c>
      <c r="H9" t="n">
        <v>170</v>
      </c>
    </row>
    <row r="10">
      <c r="A10" s="19" t="inlineStr">
        <is>
          <t>household</t>
        </is>
      </c>
      <c r="B10" t="inlineStr">
        <is>
          <t>Discretionary</t>
        </is>
      </c>
      <c r="C10" t="inlineStr">
        <is>
          <t>Travel</t>
        </is>
      </c>
      <c r="D10" t="inlineStr">
        <is>
          <t>Flights, hotels, rentals</t>
        </is>
      </c>
      <c r="E10" s="14" t="n">
        <v>13000</v>
      </c>
      <c r="F10" s="8" t="n">
        <v>15000</v>
      </c>
      <c r="G10" t="inlineStr">
        <is>
          <t>example</t>
        </is>
      </c>
      <c r="H10" t="n">
        <v>32</v>
      </c>
      <c r="I10" t="inlineStr">
        <is>
          <t>More travel once retired</t>
        </is>
      </c>
    </row>
    <row r="11">
      <c r="A11" s="19" t="inlineStr">
        <is>
          <t>household</t>
        </is>
      </c>
      <c r="B11" t="inlineStr">
        <is>
          <t>Discretionary</t>
        </is>
      </c>
      <c r="C11" t="inlineStr">
        <is>
          <t>Shopping</t>
        </is>
      </c>
      <c r="D11" t="inlineStr">
        <is>
          <t>General</t>
        </is>
      </c>
      <c r="E11" s="14" t="n">
        <v>9400</v>
      </c>
      <c r="F11" s="8" t="n">
        <v>9000</v>
      </c>
      <c r="G11" t="inlineStr">
        <is>
          <t>example</t>
        </is>
      </c>
      <c r="H11" t="n">
        <v>210</v>
      </c>
    </row>
    <row r="12">
      <c r="A12" s="19" t="inlineStr">
        <is>
          <t>household</t>
        </is>
      </c>
      <c r="B12" t="inlineStr">
        <is>
          <t>Discretionary</t>
        </is>
      </c>
      <c r="C12" t="inlineStr">
        <is>
          <t>Entertainment</t>
        </is>
      </c>
      <c r="D12" t="inlineStr">
        <is>
          <t>General</t>
        </is>
      </c>
      <c r="E12" s="14" t="n">
        <v>2800</v>
      </c>
      <c r="F12" s="8" t="n">
        <v>2800</v>
      </c>
      <c r="G12" t="inlineStr">
        <is>
          <t>example</t>
        </is>
      </c>
      <c r="H12" t="n">
        <v>40</v>
      </c>
    </row>
    <row r="13">
      <c r="A13" s="19" t="inlineStr">
        <is>
          <t>household</t>
        </is>
      </c>
      <c r="B13" t="inlineStr">
        <is>
          <t>Discretionary</t>
        </is>
      </c>
      <c r="C13" t="inlineStr">
        <is>
          <t>Subscriptions</t>
        </is>
      </c>
      <c r="D13" t="inlineStr">
        <is>
          <t>Streaming &amp; software</t>
        </is>
      </c>
      <c r="E13" s="14" t="n">
        <v>1100</v>
      </c>
      <c r="F13" s="8" t="n">
        <v>1100</v>
      </c>
      <c r="G13" t="inlineStr">
        <is>
          <t>example</t>
        </is>
      </c>
      <c r="H13" t="n">
        <v>44</v>
      </c>
    </row>
    <row r="14">
      <c r="A14" s="19" t="inlineStr">
        <is>
          <t>household</t>
        </is>
      </c>
      <c r="B14" t="inlineStr">
        <is>
          <t>Discretionary</t>
        </is>
      </c>
      <c r="C14" t="inlineStr">
        <is>
          <t>Gifts &amp; Donations</t>
        </is>
      </c>
      <c r="D14" t="inlineStr">
        <is>
          <t>General</t>
        </is>
      </c>
      <c r="E14" s="14" t="n">
        <v>4200</v>
      </c>
      <c r="F14" s="8" t="n">
        <v>4200</v>
      </c>
      <c r="G14" t="inlineStr">
        <is>
          <t>example</t>
        </is>
      </c>
      <c r="H14" t="n">
        <v>20</v>
      </c>
    </row>
    <row r="15">
      <c r="A15" s="19" t="inlineStr">
        <is>
          <t>household</t>
        </is>
      </c>
      <c r="B15" t="inlineStr">
        <is>
          <t>Discretionary</t>
        </is>
      </c>
      <c r="C15" t="inlineStr">
        <is>
          <t>Home</t>
        </is>
      </c>
      <c r="D15" t="inlineStr">
        <is>
          <t>Household goods</t>
        </is>
      </c>
      <c r="E15" s="14" t="n">
        <v>2600</v>
      </c>
      <c r="F15" s="8" t="n">
        <v>2600</v>
      </c>
      <c r="G15" t="inlineStr">
        <is>
          <t>example</t>
        </is>
      </c>
      <c r="H15" t="n">
        <v>40</v>
      </c>
    </row>
    <row r="16">
      <c r="A16" s="19" t="inlineStr">
        <is>
          <t>household</t>
        </is>
      </c>
      <c r="B16" t="inlineStr">
        <is>
          <t>Discretionary</t>
        </is>
      </c>
      <c r="C16" t="inlineStr">
        <is>
          <t>Recreation</t>
        </is>
      </c>
      <c r="D16" t="inlineStr">
        <is>
          <t>Gym, sports</t>
        </is>
      </c>
      <c r="E16" s="14" t="n">
        <v>3500</v>
      </c>
      <c r="F16" s="8" t="n">
        <v>3500</v>
      </c>
      <c r="G16" t="inlineStr">
        <is>
          <t>example</t>
        </is>
      </c>
      <c r="H16" t="n">
        <v>12</v>
      </c>
    </row>
    <row r="17">
      <c r="A17" s="19" t="inlineStr">
        <is>
          <t>housing</t>
        </is>
      </c>
      <c r="B17" t="inlineStr">
        <is>
          <t>Housing</t>
        </is>
      </c>
      <c r="C17" t="inlineStr">
        <is>
          <t>Housing</t>
        </is>
      </c>
      <c r="D17" t="inlineStr">
        <is>
          <t>Mortgage</t>
        </is>
      </c>
      <c r="E17" s="14" t="n">
        <v>36400</v>
      </c>
      <c r="F17" s="8" t="n"/>
      <c r="G17" t="inlineStr">
        <is>
          <t>example</t>
        </is>
      </c>
      <c r="H17" t="n">
        <v>26</v>
      </c>
      <c r="I17" t="inlineStr">
        <is>
          <t>Modeled from the properties tab</t>
        </is>
      </c>
    </row>
    <row r="18">
      <c r="A18" s="19" t="inlineStr">
        <is>
          <t>housing</t>
        </is>
      </c>
      <c r="B18" t="inlineStr">
        <is>
          <t>Housing</t>
        </is>
      </c>
      <c r="C18" t="inlineStr">
        <is>
          <t>Housing</t>
        </is>
      </c>
      <c r="D18" t="inlineStr">
        <is>
          <t>Property tax, strata, insurance</t>
        </is>
      </c>
      <c r="E18" s="14" t="n">
        <v>11800</v>
      </c>
      <c r="F18" s="8" t="n"/>
      <c r="G18" t="inlineStr">
        <is>
          <t>example</t>
        </is>
      </c>
      <c r="H18" t="n">
        <v>16</v>
      </c>
      <c r="I18" t="inlineStr">
        <is>
          <t>Modeled from the properties tab (carrying_costs)</t>
        </is>
      </c>
    </row>
    <row r="19">
      <c r="A19" s="19" t="inlineStr">
        <is>
          <t>healthcare</t>
        </is>
      </c>
      <c r="B19" t="inlineStr">
        <is>
          <t>Healthcare</t>
        </is>
      </c>
      <c r="C19" t="inlineStr">
        <is>
          <t>Healthcare</t>
        </is>
      </c>
      <c r="D19" t="inlineStr">
        <is>
          <t>Dental, drugs, physio</t>
        </is>
      </c>
      <c r="E19" s="14" t="n">
        <v>2900</v>
      </c>
      <c r="F19" s="8" t="n"/>
      <c r="G19" t="inlineStr">
        <is>
          <t>example</t>
        </is>
      </c>
      <c r="H19" t="n">
        <v>30</v>
      </c>
      <c r="I19" t="inlineStr">
        <is>
          <t>Modeled on the healthcare tab</t>
        </is>
      </c>
    </row>
    <row r="20">
      <c r="A20" s="19" t="inlineStr">
        <is>
          <t>kids</t>
        </is>
      </c>
      <c r="B20" t="inlineStr">
        <is>
          <t>Kids</t>
        </is>
      </c>
      <c r="C20" t="inlineStr">
        <is>
          <t>Kids</t>
        </is>
      </c>
      <c r="D20" t="inlineStr">
        <is>
          <t>Support</t>
        </is>
      </c>
      <c r="E20" s="14" t="n">
        <v>14400</v>
      </c>
      <c r="F20" s="8" t="n"/>
      <c r="G20" t="inlineStr">
        <is>
          <t>example</t>
        </is>
      </c>
      <c r="H20" t="n">
        <v>40</v>
      </c>
      <c r="I20" t="inlineStr">
        <is>
          <t>Modeled on the kids_budget tab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14" customWidth="1" min="3" max="3"/>
    <col width="10" customWidth="1" min="4" max="4"/>
    <col width="10" customWidth="1" min="5" max="5"/>
    <col width="10" customWidth="1" min="6" max="6"/>
    <col width="14" customWidth="1" min="7" max="7"/>
    <col width="70" customWidth="1" min="8" max="8"/>
  </cols>
  <sheetData>
    <row r="1">
      <c r="A1" s="15" t="inlineStr">
        <is>
          <t>kid</t>
        </is>
      </c>
      <c r="B1" s="15" t="inlineStr">
        <is>
          <t>item</t>
        </is>
      </c>
      <c r="C1" s="15" t="inlineStr">
        <is>
          <t>annual_amount_today</t>
        </is>
      </c>
      <c r="D1" s="15" t="inlineStr">
        <is>
          <t>start_year</t>
        </is>
      </c>
      <c r="E1" s="15" t="inlineStr">
        <is>
          <t>end_year</t>
        </is>
      </c>
      <c r="F1" s="15" t="inlineStr">
        <is>
          <t>inflation</t>
        </is>
      </c>
      <c r="G1" s="15" t="inlineStr">
        <is>
          <t>paid_from</t>
        </is>
      </c>
      <c r="H1" s="15" t="inlineStr">
        <is>
          <t>notes</t>
        </is>
      </c>
    </row>
    <row r="2">
      <c r="A2" s="19" t="inlineStr">
        <is>
          <t>Morgan</t>
        </is>
      </c>
      <c r="B2" s="19" t="inlineStr">
        <is>
          <t>UBC tuition + books</t>
        </is>
      </c>
      <c r="C2" s="8" t="n">
        <v>9500</v>
      </c>
      <c r="D2" s="19" t="n">
        <v>2027</v>
      </c>
      <c r="E2" s="19" t="n">
        <v>2029</v>
      </c>
      <c r="F2" s="19" t="inlineStr">
        <is>
          <t>college</t>
        </is>
      </c>
      <c r="G2" s="19" t="inlineStr">
        <is>
          <t>college_funds</t>
        </is>
      </c>
      <c r="H2" t="inlineStr">
        <is>
          <t>RESP pays first</t>
        </is>
      </c>
    </row>
    <row r="3">
      <c r="A3" s="19" t="inlineStr">
        <is>
          <t>Morgan</t>
        </is>
      </c>
      <c r="B3" s="19" t="inlineStr">
        <is>
          <t>Living at home - extra costs</t>
        </is>
      </c>
      <c r="C3" s="8" t="n">
        <v>6000</v>
      </c>
      <c r="D3" s="19" t="n">
        <v>2027</v>
      </c>
      <c r="E3" s="19" t="n">
        <v>2029</v>
      </c>
      <c r="F3" s="19" t="inlineStr">
        <is>
          <t>general</t>
        </is>
      </c>
      <c r="G3" s="19" t="inlineStr">
        <is>
          <t>parents</t>
        </is>
      </c>
    </row>
    <row r="4">
      <c r="A4" s="19" t="inlineStr">
        <is>
          <t>Morgan</t>
        </is>
      </c>
      <c r="B4" s="19" t="inlineStr">
        <is>
          <t>Help after graduating (rent share)</t>
        </is>
      </c>
      <c r="C4" s="8" t="n">
        <v>12000</v>
      </c>
      <c r="D4" s="19" t="n">
        <v>2030</v>
      </c>
      <c r="E4" s="19" t="n">
        <v>2032</v>
      </c>
      <c r="F4" s="19" t="inlineStr">
        <is>
          <t>general</t>
        </is>
      </c>
      <c r="G4" s="19" t="inlineStr">
        <is>
          <t>parents</t>
        </is>
      </c>
      <c r="H4" t="inlineStr">
        <is>
          <t>Vancouver rents</t>
        </is>
      </c>
    </row>
    <row r="5">
      <c r="A5" s="19" t="inlineStr">
        <is>
          <t>Jamie</t>
        </is>
      </c>
      <c r="B5" s="19" t="inlineStr">
        <is>
          <t>University tuition + residence (out of town)</t>
        </is>
      </c>
      <c r="C5" s="8" t="n">
        <v>24000</v>
      </c>
      <c r="D5" s="19" t="n">
        <v>2028</v>
      </c>
      <c r="E5" s="19" t="n">
        <v>2031</v>
      </c>
      <c r="F5" s="19" t="inlineStr">
        <is>
          <t>college</t>
        </is>
      </c>
      <c r="G5" s="19" t="inlineStr">
        <is>
          <t>college_funds</t>
        </is>
      </c>
    </row>
    <row r="6">
      <c r="A6" s="19" t="inlineStr">
        <is>
          <t>Jamie</t>
        </is>
      </c>
      <c r="B6" s="19" t="inlineStr">
        <is>
          <t>Spending money</t>
        </is>
      </c>
      <c r="C6" s="8" t="n">
        <v>4800</v>
      </c>
      <c r="D6" s="19" t="n">
        <v>2028</v>
      </c>
      <c r="E6" s="19" t="n">
        <v>2031</v>
      </c>
      <c r="F6" s="19" t="inlineStr">
        <is>
          <t>general</t>
        </is>
      </c>
      <c r="G6" s="19" t="inlineStr">
        <is>
          <t>parents</t>
        </is>
      </c>
    </row>
    <row r="7">
      <c r="A7" s="19" t="inlineStr">
        <is>
          <t>Jamie</t>
        </is>
      </c>
      <c r="B7" s="19" t="inlineStr">
        <is>
          <t>Help after graduating</t>
        </is>
      </c>
      <c r="C7" s="8" t="n">
        <v>9000</v>
      </c>
      <c r="D7" s="19" t="n">
        <v>2032</v>
      </c>
      <c r="E7" s="19" t="n">
        <v>2033</v>
      </c>
      <c r="F7" s="19" t="inlineStr">
        <is>
          <t>general</t>
        </is>
      </c>
      <c r="G7" s="19" t="inlineStr">
        <is>
          <t>parents</t>
        </is>
      </c>
    </row>
    <row r="8">
      <c r="A8" s="19" t="inlineStr">
        <is>
          <t>Jamie</t>
        </is>
      </c>
      <c r="B8" s="19" t="inlineStr">
        <is>
          <t>Master's degree</t>
        </is>
      </c>
      <c r="C8" s="8" t="n">
        <v>18000</v>
      </c>
      <c r="D8" s="19" t="n">
        <v>2034</v>
      </c>
      <c r="E8" s="19" t="n">
        <v>2035</v>
      </c>
      <c r="F8" s="19" t="inlineStr">
        <is>
          <t>college</t>
        </is>
      </c>
      <c r="G8" s="19" t="inlineStr">
        <is>
          <t>parents</t>
        </is>
      </c>
    </row>
    <row r="9">
      <c r="A9" s="19" t="n"/>
      <c r="B9" s="19" t="n"/>
      <c r="C9" s="19" t="n"/>
      <c r="D9" s="19" t="n"/>
      <c r="E9" s="19" t="n"/>
      <c r="F9" s="19" t="n"/>
      <c r="G9" s="19" t="n"/>
    </row>
    <row r="10">
      <c r="A10" s="19" t="n"/>
      <c r="B10" s="19" t="n"/>
      <c r="C10" s="19" t="n"/>
      <c r="D10" s="19" t="n"/>
      <c r="E10" s="19" t="n"/>
      <c r="F10" s="19" t="n"/>
      <c r="G10" s="19" t="n"/>
    </row>
    <row r="11">
      <c r="A11" s="19" t="n"/>
      <c r="B11" s="19" t="n"/>
      <c r="C11" s="19" t="n"/>
      <c r="D11" s="19" t="n"/>
      <c r="E11" s="19" t="n"/>
      <c r="F11" s="19" t="n"/>
      <c r="G11" s="19" t="n"/>
    </row>
    <row r="12">
      <c r="A12" s="19" t="n"/>
      <c r="B12" s="19" t="n"/>
      <c r="C12" s="19" t="n"/>
      <c r="D12" s="19" t="n"/>
      <c r="E12" s="19" t="n"/>
      <c r="F12" s="19" t="n"/>
      <c r="G12" s="19" t="n"/>
    </row>
    <row r="13">
      <c r="A13" s="19" t="n"/>
      <c r="B13" s="19" t="n"/>
      <c r="C13" s="19" t="n"/>
      <c r="D13" s="19" t="n"/>
      <c r="E13" s="19" t="n"/>
      <c r="F13" s="19" t="n"/>
      <c r="G13" s="19" t="n"/>
    </row>
    <row r="14">
      <c r="A14" s="19" t="n"/>
      <c r="B14" s="19" t="n"/>
      <c r="C14" s="19" t="n"/>
      <c r="D14" s="19" t="n"/>
      <c r="E14" s="19" t="n"/>
      <c r="F14" s="19" t="n"/>
      <c r="G14" s="19" t="n"/>
    </row>
    <row r="15">
      <c r="A15" s="19" t="n"/>
      <c r="B15" s="19" t="n"/>
      <c r="C15" s="19" t="n"/>
      <c r="D15" s="19" t="n"/>
      <c r="E15" s="19" t="n"/>
      <c r="F15" s="19" t="n"/>
      <c r="G15" s="19" t="n"/>
    </row>
    <row r="16">
      <c r="A16" s="19" t="n"/>
      <c r="B16" s="19" t="n"/>
      <c r="C16" s="19" t="n"/>
      <c r="D16" s="19" t="n"/>
      <c r="E16" s="19" t="n"/>
      <c r="F16" s="19" t="n"/>
      <c r="G16" s="19" t="n"/>
    </row>
    <row r="17">
      <c r="A17" s="19" t="n"/>
      <c r="B17" s="19" t="n"/>
      <c r="C17" s="19" t="n"/>
      <c r="D17" s="19" t="n"/>
      <c r="E17" s="19" t="n"/>
      <c r="F17" s="19" t="n"/>
      <c r="G17" s="19" t="n"/>
    </row>
    <row r="18">
      <c r="A18" s="19" t="n"/>
      <c r="B18" s="19" t="n"/>
      <c r="C18" s="19" t="n"/>
      <c r="D18" s="19" t="n"/>
      <c r="E18" s="19" t="n"/>
      <c r="F18" s="19" t="n"/>
      <c r="G18" s="19" t="n"/>
    </row>
    <row r="19">
      <c r="A19" s="19" t="n"/>
      <c r="B19" s="19" t="n"/>
      <c r="C19" s="19" t="n"/>
      <c r="D19" s="19" t="n"/>
      <c r="E19" s="19" t="n"/>
      <c r="F19" s="19" t="n"/>
      <c r="G19" s="19" t="n"/>
    </row>
    <row r="20">
      <c r="A20" s="19" t="n"/>
      <c r="B20" s="19" t="n"/>
      <c r="C20" s="19" t="n"/>
      <c r="D20" s="19" t="n"/>
      <c r="E20" s="19" t="n"/>
      <c r="F20" s="19" t="n"/>
      <c r="G20" s="19" t="n"/>
    </row>
    <row r="21">
      <c r="A21" s="19" t="n"/>
      <c r="B21" s="19" t="n"/>
      <c r="C21" s="19" t="n"/>
      <c r="D21" s="19" t="n"/>
      <c r="E21" s="19" t="n"/>
      <c r="F21" s="19" t="n"/>
      <c r="G21" s="19" t="n"/>
    </row>
    <row r="22">
      <c r="A22" s="19" t="n"/>
      <c r="B22" s="19" t="n"/>
      <c r="C22" s="19" t="n"/>
      <c r="D22" s="19" t="n"/>
      <c r="E22" s="19" t="n"/>
      <c r="F22" s="19" t="n"/>
      <c r="G22" s="19" t="n"/>
    </row>
    <row r="23">
      <c r="A23" s="19" t="n"/>
      <c r="B23" s="19" t="n"/>
      <c r="C23" s="19" t="n"/>
      <c r="D23" s="19" t="n"/>
      <c r="E23" s="19" t="n"/>
      <c r="F23" s="19" t="n"/>
      <c r="G23" s="19" t="n"/>
    </row>
    <row r="24">
      <c r="A24" s="19" t="n"/>
      <c r="B24" s="19" t="n"/>
      <c r="C24" s="19" t="n"/>
      <c r="D24" s="19" t="n"/>
      <c r="E24" s="19" t="n"/>
      <c r="F24" s="19" t="n"/>
      <c r="G24" s="19" t="n"/>
    </row>
    <row r="25">
      <c r="A25" s="19" t="n"/>
      <c r="B25" s="19" t="n"/>
      <c r="C25" s="19" t="n"/>
      <c r="D25" s="19" t="n"/>
      <c r="E25" s="19" t="n"/>
      <c r="F25" s="19" t="n"/>
      <c r="G25" s="19" t="n"/>
    </row>
    <row r="26">
      <c r="A26" s="19" t="n"/>
      <c r="B26" s="19" t="n"/>
      <c r="C26" s="19" t="n"/>
      <c r="D26" s="19" t="n"/>
      <c r="E26" s="19" t="n"/>
      <c r="F26" s="19" t="n"/>
      <c r="G26" s="19" t="n"/>
    </row>
    <row r="27">
      <c r="A27" s="19" t="n"/>
      <c r="B27" s="19" t="n"/>
      <c r="C27" s="19" t="n"/>
      <c r="D27" s="19" t="n"/>
      <c r="E27" s="19" t="n"/>
      <c r="F27" s="19" t="n"/>
      <c r="G27" s="19" t="n"/>
    </row>
    <row r="28">
      <c r="A28" s="19" t="n"/>
      <c r="B28" s="19" t="n"/>
      <c r="C28" s="19" t="n"/>
      <c r="D28" s="19" t="n"/>
      <c r="E28" s="19" t="n"/>
      <c r="F28" s="19" t="n"/>
      <c r="G28" s="19" t="n"/>
    </row>
    <row r="29">
      <c r="A29" s="19" t="n"/>
      <c r="B29" s="19" t="n"/>
      <c r="C29" s="19" t="n"/>
      <c r="D29" s="19" t="n"/>
      <c r="E29" s="19" t="n"/>
      <c r="F29" s="19" t="n"/>
      <c r="G29" s="19" t="n"/>
    </row>
    <row r="30">
      <c r="A30" s="19" t="n"/>
      <c r="B30" s="19" t="n"/>
      <c r="C30" s="19" t="n"/>
      <c r="D30" s="19" t="n"/>
      <c r="E30" s="19" t="n"/>
      <c r="F30" s="19" t="n"/>
      <c r="G30" s="19" t="n"/>
    </row>
    <row r="31">
      <c r="A31" s="19" t="n"/>
      <c r="B31" s="19" t="n"/>
      <c r="C31" s="19" t="n"/>
      <c r="D31" s="19" t="n"/>
      <c r="E31" s="19" t="n"/>
      <c r="F31" s="19" t="n"/>
      <c r="G31" s="19" t="n"/>
    </row>
    <row r="32">
      <c r="A32" s="19" t="n"/>
      <c r="B32" s="19" t="n"/>
      <c r="C32" s="19" t="n"/>
      <c r="D32" s="19" t="n"/>
      <c r="E32" s="19" t="n"/>
      <c r="F32" s="19" t="n"/>
      <c r="G32" s="19" t="n"/>
    </row>
    <row r="33">
      <c r="A33" s="19" t="n"/>
      <c r="B33" s="19" t="n"/>
      <c r="C33" s="19" t="n"/>
      <c r="D33" s="19" t="n"/>
      <c r="E33" s="19" t="n"/>
      <c r="F33" s="19" t="n"/>
      <c r="G33" s="19" t="n"/>
    </row>
    <row r="34">
      <c r="A34" s="19" t="n"/>
      <c r="B34" s="19" t="n"/>
      <c r="C34" s="19" t="n"/>
      <c r="D34" s="19" t="n"/>
      <c r="E34" s="19" t="n"/>
      <c r="F34" s="19" t="n"/>
      <c r="G34" s="19" t="n"/>
    </row>
    <row r="35">
      <c r="A35" s="19" t="n"/>
      <c r="B35" s="19" t="n"/>
      <c r="C35" s="19" t="n"/>
      <c r="D35" s="19" t="n"/>
      <c r="E35" s="19" t="n"/>
      <c r="F35" s="19" t="n"/>
      <c r="G35" s="19" t="n"/>
    </row>
    <row r="36">
      <c r="A36" s="19" t="n"/>
      <c r="B36" s="19" t="n"/>
      <c r="C36" s="19" t="n"/>
      <c r="D36" s="19" t="n"/>
      <c r="E36" s="19" t="n"/>
      <c r="F36" s="19" t="n"/>
      <c r="G36" s="19" t="n"/>
    </row>
    <row r="37">
      <c r="A37" s="19" t="n"/>
      <c r="B37" s="19" t="n"/>
      <c r="C37" s="19" t="n"/>
      <c r="D37" s="19" t="n"/>
      <c r="E37" s="19" t="n"/>
      <c r="F37" s="19" t="n"/>
      <c r="G37" s="19" t="n"/>
    </row>
    <row r="38">
      <c r="A38" s="19" t="n"/>
      <c r="B38" s="19" t="n"/>
      <c r="C38" s="19" t="n"/>
      <c r="D38" s="19" t="n"/>
      <c r="E38" s="19" t="n"/>
      <c r="F38" s="19" t="n"/>
      <c r="G38" s="19" t="n"/>
    </row>
    <row r="39">
      <c r="A39" s="19" t="n"/>
      <c r="B39" s="19" t="n"/>
      <c r="C39" s="19" t="n"/>
      <c r="D39" s="19" t="n"/>
      <c r="E39" s="19" t="n"/>
      <c r="F39" s="19" t="n"/>
      <c r="G39" s="19" t="n"/>
    </row>
    <row r="40">
      <c r="A40" s="19" t="n"/>
      <c r="B40" s="19" t="n"/>
      <c r="C40" s="19" t="n"/>
      <c r="D40" s="19" t="n"/>
      <c r="E40" s="19" t="n"/>
      <c r="F40" s="19" t="n"/>
      <c r="G40" s="19" t="n"/>
    </row>
    <row r="42">
      <c r="A42" t="inlineStr">
        <is>
          <t>One line per kid and cost, per year in today's dollars, for the years start_year-end_year. inflation: 'college' lines rise with college cost growth, 'general' with inflation. paid_from: 'college_funds' lines are paid by the RESPs first and only the shortfall comes from you; 'parents' lines come straight from you. Add rows above row 41.</t>
        </is>
      </c>
    </row>
  </sheetData>
  <dataValidations count="2">
    <dataValidation sqref="F2:F40" showDropDown="0" showInputMessage="0" showErrorMessage="0" allowBlank="1" type="list">
      <formula1>"general,college"</formula1>
    </dataValidation>
    <dataValidation sqref="G2:G40" showDropDown="0" showInputMessage="0" showErrorMessage="0" allowBlank="1" type="list">
      <formula1>"parents,college_funds"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0" customWidth="1" min="3" max="3"/>
    <col width="10" customWidth="1" min="4" max="4"/>
    <col width="80" customWidth="1" min="5" max="5"/>
  </cols>
  <sheetData>
    <row r="1">
      <c r="A1" s="15" t="inlineStr">
        <is>
          <t>item</t>
        </is>
      </c>
      <c r="B1" s="15" t="inlineStr">
        <is>
          <t>annual_amount_today</t>
        </is>
      </c>
      <c r="C1" s="15" t="inlineStr">
        <is>
          <t>start_year</t>
        </is>
      </c>
      <c r="D1" s="15" t="inlineStr">
        <is>
          <t>end_year</t>
        </is>
      </c>
      <c r="E1" s="15" t="inlineStr">
        <is>
          <t>notes</t>
        </is>
      </c>
    </row>
    <row r="2">
      <c r="A2" s="19" t="inlineStr">
        <is>
          <t>Home maintenance and renovations</t>
        </is>
      </c>
      <c r="B2" s="8" t="n">
        <v>10000</v>
      </c>
      <c r="C2" s="19" t="n">
        <v>2027</v>
      </c>
      <c r="D2" s="19" t="n">
        <v>2060</v>
      </c>
    </row>
    <row r="3">
      <c r="A3" s="19" t="inlineStr">
        <is>
          <t>Car replacement</t>
        </is>
      </c>
      <c r="B3" s="8" t="n">
        <v>7000</v>
      </c>
      <c r="C3" s="19" t="n">
        <v>2027</v>
      </c>
      <c r="D3" s="19" t="n">
        <v>2055</v>
      </c>
    </row>
    <row r="4">
      <c r="A4" s="19" t="inlineStr">
        <is>
          <t>Cabin trips / cottage share</t>
        </is>
      </c>
      <c r="B4" s="8" t="n">
        <v>3000</v>
      </c>
      <c r="C4" s="19" t="n">
        <v>2027</v>
      </c>
      <c r="D4" s="19" t="n">
        <v>2045</v>
      </c>
    </row>
    <row r="5">
      <c r="A5" s="19" t="n"/>
      <c r="B5" s="19" t="n"/>
      <c r="C5" s="19" t="n"/>
      <c r="D5" s="19" t="n"/>
    </row>
    <row r="6">
      <c r="A6" s="19" t="n"/>
      <c r="B6" s="19" t="n"/>
      <c r="C6" s="19" t="n"/>
      <c r="D6" s="19" t="n"/>
    </row>
    <row r="7">
      <c r="A7" s="19" t="n"/>
      <c r="B7" s="19" t="n"/>
      <c r="C7" s="19" t="n"/>
      <c r="D7" s="19" t="n"/>
    </row>
    <row r="8">
      <c r="A8" s="19" t="n"/>
      <c r="B8" s="19" t="n"/>
      <c r="C8" s="19" t="n"/>
      <c r="D8" s="19" t="n"/>
    </row>
    <row r="9">
      <c r="A9" s="19" t="n"/>
      <c r="B9" s="19" t="n"/>
      <c r="C9" s="19" t="n"/>
      <c r="D9" s="19" t="n"/>
    </row>
    <row r="10">
      <c r="A10" s="19" t="n"/>
      <c r="B10" s="19" t="n"/>
      <c r="C10" s="19" t="n"/>
      <c r="D10" s="19" t="n"/>
    </row>
    <row r="11">
      <c r="A11" s="19" t="n"/>
      <c r="B11" s="19" t="n"/>
      <c r="C11" s="19" t="n"/>
      <c r="D11" s="19" t="n"/>
    </row>
    <row r="12">
      <c r="A12" s="19" t="n"/>
      <c r="B12" s="19" t="n"/>
      <c r="C12" s="19" t="n"/>
      <c r="D12" s="19" t="n"/>
    </row>
    <row r="13">
      <c r="A13" s="19" t="n"/>
      <c r="B13" s="19" t="n"/>
      <c r="C13" s="19" t="n"/>
      <c r="D13" s="19" t="n"/>
    </row>
    <row r="14">
      <c r="A14" s="19" t="n"/>
      <c r="B14" s="19" t="n"/>
      <c r="C14" s="19" t="n"/>
      <c r="D14" s="19" t="n"/>
    </row>
    <row r="15">
      <c r="A15" s="19" t="n"/>
      <c r="B15" s="19" t="n"/>
      <c r="C15" s="19" t="n"/>
      <c r="D15" s="19" t="n"/>
    </row>
    <row r="16">
      <c r="A16" s="19" t="n"/>
      <c r="B16" s="19" t="n"/>
      <c r="C16" s="19" t="n"/>
      <c r="D16" s="19" t="n"/>
    </row>
    <row r="17">
      <c r="A17" s="19" t="n"/>
      <c r="B17" s="19" t="n"/>
      <c r="C17" s="19" t="n"/>
      <c r="D17" s="19" t="n"/>
    </row>
    <row r="18">
      <c r="A18" s="19" t="n"/>
      <c r="B18" s="19" t="n"/>
      <c r="C18" s="19" t="n"/>
      <c r="D18" s="19" t="n"/>
    </row>
    <row r="19">
      <c r="A19" s="19" t="n"/>
      <c r="B19" s="19" t="n"/>
      <c r="C19" s="19" t="n"/>
      <c r="D19" s="19" t="n"/>
    </row>
    <row r="20">
      <c r="A20" s="19" t="n"/>
      <c r="B20" s="19" t="n"/>
      <c r="C20" s="19" t="n"/>
      <c r="D20" s="19" t="n"/>
    </row>
    <row r="21">
      <c r="A21" s="19" t="n"/>
      <c r="B21" s="19" t="n"/>
      <c r="C21" s="19" t="n"/>
      <c r="D21" s="19" t="n"/>
    </row>
    <row r="22">
      <c r="A22" s="19" t="n"/>
      <c r="B22" s="19" t="n"/>
      <c r="C22" s="19" t="n"/>
      <c r="D22" s="19" t="n"/>
    </row>
    <row r="23">
      <c r="A23" s="19" t="n"/>
      <c r="B23" s="19" t="n"/>
      <c r="C23" s="19" t="n"/>
      <c r="D23" s="19" t="n"/>
    </row>
    <row r="24">
      <c r="A24" s="19" t="n"/>
      <c r="B24" s="19" t="n"/>
      <c r="C24" s="19" t="n"/>
      <c r="D24" s="19" t="n"/>
    </row>
    <row r="25">
      <c r="A25" s="19" t="n"/>
      <c r="B25" s="19" t="n"/>
      <c r="C25" s="19" t="n"/>
      <c r="D25" s="19" t="n"/>
    </row>
    <row r="26">
      <c r="A26" s="19" t="n"/>
      <c r="B26" s="19" t="n"/>
      <c r="C26" s="19" t="n"/>
      <c r="D26" s="19" t="n"/>
    </row>
    <row r="27">
      <c r="A27" s="19" t="n"/>
      <c r="B27" s="19" t="n"/>
      <c r="C27" s="19" t="n"/>
      <c r="D27" s="19" t="n"/>
    </row>
    <row r="28">
      <c r="A28" s="19" t="n"/>
      <c r="B28" s="19" t="n"/>
      <c r="C28" s="19" t="n"/>
      <c r="D28" s="19" t="n"/>
    </row>
    <row r="29">
      <c r="A29" s="19" t="n"/>
      <c r="B29" s="19" t="n"/>
      <c r="C29" s="19" t="n"/>
      <c r="D29" s="19" t="n"/>
    </row>
    <row r="30">
      <c r="A30" s="19" t="n"/>
      <c r="B30" s="19" t="n"/>
      <c r="C30" s="19" t="n"/>
      <c r="D30" s="19" t="n"/>
    </row>
    <row r="32">
      <c r="A32" t="inlineStr">
        <is>
          <t>Big irregular costs averaged per year (renovations, cars, gifts), in today's dollars, for the years start_year-end_year. Add rows above row 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80" customWidth="1" min="17" max="17"/>
  </cols>
  <sheetData>
    <row r="1">
      <c r="A1" s="15" t="inlineStr">
        <is>
          <t>property</t>
        </is>
      </c>
      <c r="B1" s="15" t="inlineStr">
        <is>
          <t>type</t>
        </is>
      </c>
      <c r="C1" s="15" t="inlineStr">
        <is>
          <t>value_now</t>
        </is>
      </c>
      <c r="D1" s="15" t="inlineStr">
        <is>
          <t>appreciation</t>
        </is>
      </c>
      <c r="E1" s="15" t="inlineStr">
        <is>
          <t>selling_cost_pct</t>
        </is>
      </c>
      <c r="F1" s="15" t="inlineStr">
        <is>
          <t>cost_basis</t>
        </is>
      </c>
      <c r="G1" s="15" t="inlineStr">
        <is>
          <t>carrying_costs</t>
        </is>
      </c>
      <c r="H1" s="15" t="inlineStr">
        <is>
          <t>property_tax</t>
        </is>
      </c>
      <c r="I1" s="15" t="inlineStr">
        <is>
          <t>mortgage_balance</t>
        </is>
      </c>
      <c r="J1" s="15" t="inlineStr">
        <is>
          <t>mortgage_rate</t>
        </is>
      </c>
      <c r="K1" s="15" t="inlineStr">
        <is>
          <t>mortgage_payment</t>
        </is>
      </c>
      <c r="L1" s="15" t="inlineStr">
        <is>
          <t>rent</t>
        </is>
      </c>
      <c r="M1" s="15" t="inlineStr">
        <is>
          <t>cash_costs</t>
        </is>
      </c>
      <c r="N1" s="15" t="inlineStr">
        <is>
          <t>depreciation</t>
        </is>
      </c>
      <c r="O1" s="15" t="inlineStr">
        <is>
          <t>depreciation_end_year</t>
        </is>
      </c>
      <c r="P1" s="15" t="inlineStr">
        <is>
          <t>accum_depreciation</t>
        </is>
      </c>
      <c r="Q1" s="15" t="inlineStr">
        <is>
          <t>notes</t>
        </is>
      </c>
    </row>
    <row r="2">
      <c r="A2" s="19" t="inlineStr">
        <is>
          <t>House (East Vancouver)</t>
        </is>
      </c>
      <c r="B2" s="24" t="inlineStr">
        <is>
          <t>primary</t>
        </is>
      </c>
      <c r="C2" s="8" t="n">
        <v>1850000</v>
      </c>
      <c r="D2" s="10" t="n">
        <v>0.03</v>
      </c>
      <c r="E2" s="10" t="n">
        <v>0.04</v>
      </c>
      <c r="F2" s="8" t="n">
        <v>780000</v>
      </c>
      <c r="G2" s="8" t="n">
        <v>11800</v>
      </c>
      <c r="H2" s="8" t="n">
        <v>6300</v>
      </c>
      <c r="I2" s="8" t="n">
        <v>340000</v>
      </c>
      <c r="J2" s="26" t="n">
        <v>0.0449</v>
      </c>
      <c r="K2" s="8" t="n">
        <v>36400</v>
      </c>
      <c r="L2" s="8" t="n"/>
      <c r="M2" s="8" t="n"/>
      <c r="N2" s="8" t="n"/>
      <c r="O2" s="19" t="n"/>
      <c r="P2" s="8" t="n"/>
      <c r="Q2" t="inlineStr">
        <is>
          <t>Principal residence: the gain on sale isn't taxed. Carrying costs: property tax $6,300, insurance $3,000, utilities/other $2,500</t>
        </is>
      </c>
    </row>
    <row r="3">
      <c r="A3" s="19" t="inlineStr">
        <is>
          <t>Condo rental (Burnaby)</t>
        </is>
      </c>
      <c r="B3" s="19" t="inlineStr">
        <is>
          <t>rental</t>
        </is>
      </c>
      <c r="C3" s="8" t="n">
        <v>720000</v>
      </c>
      <c r="D3" s="10" t="n">
        <v>0.025</v>
      </c>
      <c r="E3" s="10" t="n">
        <v>0.045</v>
      </c>
      <c r="F3" s="8" t="n">
        <v>540000</v>
      </c>
      <c r="G3" s="8" t="n"/>
      <c r="H3" s="8" t="n"/>
      <c r="I3" s="8" t="n"/>
      <c r="J3" s="26" t="n"/>
      <c r="K3" s="8" t="n"/>
      <c r="L3" s="8" t="n">
        <v>32400</v>
      </c>
      <c r="M3" s="8" t="n">
        <v>11800</v>
      </c>
      <c r="N3" s="8" t="n">
        <v>9500</v>
      </c>
      <c r="O3" s="19" t="n">
        <v>2045</v>
      </c>
      <c r="P3" s="8" t="n">
        <v>48000</v>
      </c>
      <c r="Q3" t="inlineStr">
        <is>
          <t>Bought 2019 for $540,000. Cash costs: strata $4,600, property tax $2,400, insurance $900, repairs $1,400, vacancy tax/other $2,500. CCA claimed yearly</t>
        </is>
      </c>
    </row>
    <row r="4">
      <c r="A4" s="19" t="n"/>
      <c r="B4" s="19" t="n"/>
      <c r="C4" s="8" t="n"/>
      <c r="D4" s="10" t="n"/>
      <c r="E4" s="10" t="n"/>
      <c r="F4" s="8" t="n"/>
      <c r="G4" s="8" t="n"/>
      <c r="H4" s="8" t="n"/>
      <c r="I4" s="8" t="n"/>
      <c r="J4" s="26" t="n"/>
      <c r="K4" s="8" t="n"/>
      <c r="L4" s="8" t="n"/>
      <c r="M4" s="8" t="n"/>
      <c r="N4" s="8" t="n"/>
      <c r="O4" s="19" t="n"/>
      <c r="P4" s="8" t="n"/>
    </row>
    <row r="5">
      <c r="A5" s="19" t="n"/>
      <c r="B5" s="19" t="n"/>
      <c r="C5" s="8" t="n"/>
      <c r="D5" s="10" t="n"/>
      <c r="E5" s="10" t="n"/>
      <c r="F5" s="8" t="n"/>
      <c r="G5" s="8" t="n"/>
      <c r="H5" s="8" t="n"/>
      <c r="I5" s="8" t="n"/>
      <c r="J5" s="26" t="n"/>
      <c r="K5" s="8" t="n"/>
      <c r="L5" s="8" t="n"/>
      <c r="M5" s="8" t="n"/>
      <c r="N5" s="8" t="n"/>
      <c r="O5" s="19" t="n"/>
      <c r="P5" s="8" t="n"/>
    </row>
    <row r="6">
      <c r="A6" s="19" t="n"/>
      <c r="B6" s="19" t="n"/>
      <c r="C6" s="8" t="n"/>
      <c r="D6" s="10" t="n"/>
      <c r="E6" s="10" t="n"/>
      <c r="F6" s="8" t="n"/>
      <c r="G6" s="8" t="n"/>
      <c r="H6" s="8" t="n"/>
      <c r="I6" s="8" t="n"/>
      <c r="J6" s="26" t="n"/>
      <c r="K6" s="8" t="n"/>
      <c r="L6" s="8" t="n"/>
      <c r="M6" s="8" t="n"/>
      <c r="N6" s="8" t="n"/>
      <c r="O6" s="19" t="n"/>
      <c r="P6" s="8" t="n"/>
    </row>
    <row r="9">
      <c r="A9" t="inlineStr">
        <is>
          <t>Row 2 is your home (principal residence); rows 3-6 are other properties (rentals, a cottage). Sell / rent decisions are made on each Model tab. Amounts are today's dollars.</t>
        </is>
      </c>
    </row>
    <row r="10">
      <c r="A10" t="inlineStr">
        <is>
          <t>value_now: market value; appreciation: growth per year. carrying_costs: property tax + condo/HOA/strata fees + insurance + utilities you want counted as housing (for the home; if you rent, put the rent here and leave value_now blank). property_tax: the part that's property tax (not used in Canada).</t>
        </is>
      </c>
    </row>
    <row r="11">
      <c r="A11" t="inlineStr">
        <is>
          <t>mortgage_*: the home's mortgage on 1 January of the first year (balance, interest rate, payments per year). Other properties are assumed mortgage-free: include any loan payments in cash_costs.</t>
        </is>
      </c>
    </row>
    <row r="12">
      <c r="A12" t="inlineStr">
        <is>
          <t>Other properties: rent and cash_costs per year; depreciation (capital cost allowance) claimed per year until depreciation_end_year, and accum_depreciation already claimed. cost_basis is what you paid plus improvements.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80" customWidth="1" min="4" max="4"/>
    <col width="50" customWidth="1" min="5" max="5"/>
  </cols>
  <sheetData>
    <row r="1">
      <c r="A1" s="15" t="inlineStr">
        <is>
          <t>key</t>
        </is>
      </c>
      <c r="B1" s="15" t="inlineStr">
        <is>
          <t>value</t>
        </is>
      </c>
      <c r="C1" s="15" t="inlineStr">
        <is>
          <t>unit</t>
        </is>
      </c>
      <c r="D1" s="15" t="inlineStr">
        <is>
          <t>notes</t>
        </is>
      </c>
      <c r="E1" s="15" t="inlineStr">
        <is>
          <t>source</t>
        </is>
      </c>
    </row>
    <row r="2">
      <c r="A2" t="inlineStr">
        <is>
          <t>employer_plan_cost</t>
        </is>
      </c>
      <c r="B2" s="19" t="n">
        <v>1500</v>
      </c>
      <c r="C2" t="inlineStr">
        <is>
          <t>$/year</t>
        </is>
      </c>
      <c r="D2" t="inlineStr">
        <is>
          <t>Your share of the group benefits plan + out-of-pocket while working</t>
        </is>
      </c>
      <c r="E2" t="inlineStr">
        <is>
          <t>Benefits statement</t>
        </is>
      </c>
    </row>
    <row r="3">
      <c r="A3" t="inlineStr">
        <is>
          <t>private_plan_monthly</t>
        </is>
      </c>
      <c r="B3" s="19" t="n">
        <v>160</v>
      </c>
      <c r="C3" t="inlineStr">
        <is>
          <t>$/month</t>
        </is>
      </c>
      <c r="D3" t="inlineStr">
        <is>
          <t>Extended health + dental for one retired adult (e.g. PacificBlue Cross, Manulife FlexCare)</t>
        </is>
      </c>
      <c r="E3" t="inlineStr">
        <is>
          <t>Insurer quotes</t>
        </is>
      </c>
    </row>
    <row r="4">
      <c r="A4" t="inlineStr">
        <is>
          <t>oop_per_person</t>
        </is>
      </c>
      <c r="B4" s="19" t="n">
        <v>1800</v>
      </c>
      <c r="C4" t="inlineStr">
        <is>
          <t>$/year</t>
        </is>
      </c>
      <c r="D4" t="inlineStr">
        <is>
          <t>Drugs above PharmaCare, dental, vision, physio not covered</t>
        </is>
      </c>
    </row>
    <row r="5">
      <c r="A5" t="inlineStr">
        <is>
          <t>medical_inflation</t>
        </is>
      </c>
      <c r="B5" s="10" t="n">
        <v>0.045</v>
      </c>
      <c r="C5" t="inlineStr">
        <is>
          <t>per year</t>
        </is>
      </c>
    </row>
    <row r="6">
      <c r="A6" t="inlineStr">
        <is>
          <t>ltc_annual_cost</t>
        </is>
      </c>
      <c r="B6" s="19" t="n">
        <v>95000</v>
      </c>
      <c r="C6" t="inlineStr">
        <is>
          <t>$/year</t>
        </is>
      </c>
      <c r="D6" t="inlineStr">
        <is>
          <t>Private assisted living / private-pay care in Metro Vancouver. Publicly subsidized long-term care costs up to 80% of after-tax income instead</t>
        </is>
      </c>
      <c r="E6" t="inlineStr">
        <is>
          <t>BC Seniors Advocate</t>
        </is>
      </c>
    </row>
    <row r="7">
      <c r="A7" t="inlineStr">
        <is>
          <t>ltc_inflation</t>
        </is>
      </c>
      <c r="B7" s="10" t="n">
        <v>0.04</v>
      </c>
      <c r="C7" t="inlineStr">
        <is>
          <t>per year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0"/>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11" customWidth="1" min="4" max="4"/>
    <col width="14" customWidth="1" min="5" max="5"/>
    <col width="70" customWidth="1" min="6" max="6"/>
    <col width="16" customWidth="1" min="8" max="8"/>
    <col width="14" customWidth="1" min="9" max="9"/>
    <col width="14" customWidth="1" min="10" max="10"/>
    <col width="70" customWidth="1" min="11" max="11"/>
  </cols>
  <sheetData>
    <row r="1">
      <c r="A1" s="15" t="inlineStr">
        <is>
          <t>account</t>
        </is>
      </c>
      <c r="B1" s="15" t="inlineStr">
        <is>
          <t>bucket</t>
        </is>
      </c>
      <c r="C1" s="15" t="inlineStr">
        <is>
          <t>value</t>
        </is>
      </c>
      <c r="D1" s="15" t="inlineStr">
        <is>
          <t>as_of</t>
        </is>
      </c>
      <c r="E1" s="15" t="inlineStr">
        <is>
          <t>cost_basis</t>
        </is>
      </c>
      <c r="F1" s="15" t="inlineStr">
        <is>
          <t>notes</t>
        </is>
      </c>
      <c r="H1" s="18" t="inlineStr">
        <is>
          <t>bucket</t>
        </is>
      </c>
      <c r="I1" s="18" t="inlineStr">
        <is>
          <t>total</t>
        </is>
      </c>
      <c r="J1" s="18" t="inlineStr">
        <is>
          <t>cost basis</t>
        </is>
      </c>
      <c r="K1" s="18" t="inlineStr">
        <is>
          <t>what goes in it</t>
        </is>
      </c>
    </row>
    <row r="2">
      <c r="A2" s="19" t="inlineStr">
        <is>
          <t>Joint non-registered (ETFs)</t>
        </is>
      </c>
      <c r="B2" s="19" t="inlineStr">
        <is>
          <t>non_registered</t>
        </is>
      </c>
      <c r="C2" s="8" t="n">
        <v>420000</v>
      </c>
      <c r="D2" s="19" t="inlineStr">
        <is>
          <t>2027-01-01</t>
        </is>
      </c>
      <c r="E2" s="8" t="n">
        <v>290000</v>
      </c>
      <c r="F2" t="inlineStr">
        <is>
          <t>Adjusted cost base from the broker</t>
        </is>
      </c>
      <c r="H2" t="inlineStr">
        <is>
          <t>non_registered</t>
        </is>
      </c>
      <c r="I2" s="14">
        <f>SUMIF($B$2:$B$150,"non_registered",$C$2:$C$150)</f>
        <v/>
      </c>
      <c r="J2" s="14">
        <f>SUMIF($B$2:$B$150,"non_registered",$E$2:$E$150)</f>
        <v/>
      </c>
      <c r="K2" t="inlineStr">
        <is>
          <t>Non-registered investment accounts, bank and savings cash</t>
        </is>
      </c>
    </row>
    <row r="3">
      <c r="A3" s="19" t="inlineStr">
        <is>
          <t>High-interest savings</t>
        </is>
      </c>
      <c r="B3" s="19" t="inlineStr">
        <is>
          <t>non_registered</t>
        </is>
      </c>
      <c r="C3" s="8" t="n">
        <v>35000</v>
      </c>
      <c r="D3" s="19" t="inlineStr">
        <is>
          <t>2027-01-01</t>
        </is>
      </c>
      <c r="E3" s="8" t="n"/>
      <c r="F3" t="inlineStr">
        <is>
          <t>cash: cost basis = value</t>
        </is>
      </c>
      <c r="H3" t="inlineStr">
        <is>
          <t>rrsp_p1</t>
        </is>
      </c>
      <c r="I3" s="14">
        <f>SUMIF($B$2:$B$150,"rrsp_p1",$C$2:$C$150)</f>
        <v/>
      </c>
      <c r="K3" t="inlineStr">
        <is>
          <t>Person 1's RRSP, RRIF, LIRA, defined-contribution pension</t>
        </is>
      </c>
    </row>
    <row r="4">
      <c r="A4" s="19" t="inlineStr">
        <is>
          <t>Chequing</t>
        </is>
      </c>
      <c r="B4" s="19" t="inlineStr">
        <is>
          <t>non_registered</t>
        </is>
      </c>
      <c r="C4" s="8" t="n">
        <v>12000</v>
      </c>
      <c r="D4" s="19" t="inlineStr">
        <is>
          <t>2027-01-01</t>
        </is>
      </c>
      <c r="E4" s="8" t="n"/>
      <c r="H4" t="inlineStr">
        <is>
          <t>rrsp_p2</t>
        </is>
      </c>
      <c r="I4" s="14">
        <f>SUMIF($B$2:$B$150,"rrsp_p2",$C$2:$C$150)</f>
        <v/>
      </c>
      <c r="K4" t="inlineStr">
        <is>
          <t>Person 2's RRSP/RRIF/LIRA</t>
        </is>
      </c>
    </row>
    <row r="5">
      <c r="A5" s="19" t="inlineStr">
        <is>
          <t>Sam RRSP</t>
        </is>
      </c>
      <c r="B5" s="19" t="inlineStr">
        <is>
          <t>rrsp_p1</t>
        </is>
      </c>
      <c r="C5" s="8" t="n">
        <v>760000</v>
      </c>
      <c r="D5" s="19" t="inlineStr">
        <is>
          <t>2027-01-01</t>
        </is>
      </c>
      <c r="E5" s="8" t="n"/>
      <c r="H5" t="inlineStr">
        <is>
          <t>tfsa</t>
        </is>
      </c>
      <c r="I5" s="14">
        <f>SUMIF($B$2:$B$150,"tfsa",$C$2:$C$150)</f>
        <v/>
      </c>
      <c r="K5" t="inlineStr">
        <is>
          <t>TFSAs (either person)</t>
        </is>
      </c>
    </row>
    <row r="6">
      <c r="A6" s="19" t="inlineStr">
        <is>
          <t>Sam DC pension (LIRA on leaving)</t>
        </is>
      </c>
      <c r="B6" s="19" t="inlineStr">
        <is>
          <t>rrsp_p1</t>
        </is>
      </c>
      <c r="C6" s="8" t="n">
        <v>180000</v>
      </c>
      <c r="D6" s="19" t="inlineStr">
        <is>
          <t>2027-01-01</t>
        </is>
      </c>
      <c r="E6" s="8" t="n"/>
      <c r="H6" t="inlineStr">
        <is>
          <t>resp</t>
        </is>
      </c>
      <c r="I6" s="14">
        <f>SUMIF($B$2:$B$150,"resp",$C$2:$C$150)</f>
        <v/>
      </c>
      <c r="K6" t="inlineStr">
        <is>
          <t>RESPs (the kids' education money; not counted as yours)</t>
        </is>
      </c>
    </row>
    <row r="7">
      <c r="A7" s="19" t="inlineStr">
        <is>
          <t>Taylor RRSP</t>
        </is>
      </c>
      <c r="B7" s="19" t="inlineStr">
        <is>
          <t>rrsp_p2</t>
        </is>
      </c>
      <c r="C7" s="8" t="n">
        <v>410000</v>
      </c>
      <c r="D7" s="19" t="inlineStr">
        <is>
          <t>2027-01-01</t>
        </is>
      </c>
      <c r="E7" s="8" t="n"/>
      <c r="H7" t="inlineStr">
        <is>
          <t>not_modeled</t>
        </is>
      </c>
      <c r="I7" s="14">
        <f>SUMIF($B$2:$B$150,"not_modeled",$C$2:$C$150)</f>
        <v/>
      </c>
      <c r="K7" t="inlineStr">
        <is>
          <t>Anything the model should ignore (cars, collectibles, a business)</t>
        </is>
      </c>
    </row>
    <row r="8">
      <c r="A8" s="19" t="inlineStr">
        <is>
          <t>Sam TFSA</t>
        </is>
      </c>
      <c r="B8" s="19" t="inlineStr">
        <is>
          <t>tfsa</t>
        </is>
      </c>
      <c r="C8" s="8" t="n">
        <v>118000</v>
      </c>
      <c r="D8" s="19" t="inlineStr">
        <is>
          <t>2027-01-01</t>
        </is>
      </c>
      <c r="E8" s="8" t="n"/>
    </row>
    <row r="9">
      <c r="A9" s="19" t="inlineStr">
        <is>
          <t>Taylor TFSA</t>
        </is>
      </c>
      <c r="B9" s="19" t="inlineStr">
        <is>
          <t>tfsa</t>
        </is>
      </c>
      <c r="C9" s="8" t="n">
        <v>96000</v>
      </c>
      <c r="D9" s="19" t="inlineStr">
        <is>
          <t>2027-01-01</t>
        </is>
      </c>
      <c r="E9" s="8" t="n"/>
      <c r="H9" t="inlineStr">
        <is>
          <t>One row per account, balance as of 1 January of the first year. cost_basis matters only for taxable accounts (blank = same as value, e.g. cash).</t>
        </is>
      </c>
    </row>
    <row r="10">
      <c r="A10" s="19" t="inlineStr">
        <is>
          <t>Family RESP</t>
        </is>
      </c>
      <c r="B10" s="19" t="inlineStr">
        <is>
          <t>resp</t>
        </is>
      </c>
      <c r="C10" s="8" t="n">
        <v>88000</v>
      </c>
      <c r="D10" s="19" t="inlineStr">
        <is>
          <t>2027-01-01</t>
        </is>
      </c>
      <c r="E10" s="8" t="n"/>
    </row>
    <row r="11">
      <c r="A11" s="19" t="inlineStr">
        <is>
          <t>Car</t>
        </is>
      </c>
      <c r="B11" s="19" t="inlineStr">
        <is>
          <t>not_modeled</t>
        </is>
      </c>
      <c r="C11" s="8" t="n">
        <v>25000</v>
      </c>
      <c r="D11" s="19" t="inlineStr">
        <is>
          <t>2027-01-01</t>
        </is>
      </c>
      <c r="E11" s="8" t="n"/>
    </row>
    <row r="12">
      <c r="A12" s="19" t="n"/>
      <c r="B12" s="19" t="n"/>
      <c r="C12" s="19" t="n"/>
      <c r="D12" s="19" t="n"/>
      <c r="E12" s="19" t="n"/>
    </row>
    <row r="13">
      <c r="A13" s="19" t="n"/>
      <c r="B13" s="19" t="n"/>
      <c r="C13" s="19" t="n"/>
      <c r="D13" s="19" t="n"/>
      <c r="E13" s="19" t="n"/>
    </row>
    <row r="14">
      <c r="A14" s="19" t="n"/>
      <c r="B14" s="19" t="n"/>
      <c r="C14" s="19" t="n"/>
      <c r="D14" s="19" t="n"/>
      <c r="E14" s="19" t="n"/>
    </row>
    <row r="15">
      <c r="A15" s="19" t="n"/>
      <c r="B15" s="19" t="n"/>
      <c r="C15" s="19" t="n"/>
      <c r="D15" s="19" t="n"/>
      <c r="E15" s="19" t="n"/>
    </row>
    <row r="16">
      <c r="A16" s="19" t="n"/>
      <c r="B16" s="19" t="n"/>
      <c r="C16" s="19" t="n"/>
      <c r="D16" s="19" t="n"/>
      <c r="E16" s="19" t="n"/>
    </row>
    <row r="17">
      <c r="A17" s="19" t="n"/>
      <c r="B17" s="19" t="n"/>
      <c r="C17" s="19" t="n"/>
      <c r="D17" s="19" t="n"/>
      <c r="E17" s="19" t="n"/>
    </row>
    <row r="18">
      <c r="A18" s="19" t="n"/>
      <c r="B18" s="19" t="n"/>
      <c r="C18" s="19" t="n"/>
      <c r="D18" s="19" t="n"/>
      <c r="E18" s="19" t="n"/>
    </row>
    <row r="19">
      <c r="A19" s="19" t="n"/>
      <c r="B19" s="19" t="n"/>
      <c r="C19" s="19" t="n"/>
      <c r="D19" s="19" t="n"/>
      <c r="E19" s="19" t="n"/>
    </row>
    <row r="20">
      <c r="A20" s="19" t="n"/>
      <c r="B20" s="19" t="n"/>
      <c r="C20" s="19" t="n"/>
      <c r="D20" s="19" t="n"/>
      <c r="E20" s="19" t="n"/>
    </row>
    <row r="21">
      <c r="A21" s="19" t="n"/>
      <c r="B21" s="19" t="n"/>
      <c r="C21" s="19" t="n"/>
      <c r="D21" s="19" t="n"/>
      <c r="E21" s="19" t="n"/>
    </row>
    <row r="22">
      <c r="A22" s="19" t="n"/>
      <c r="B22" s="19" t="n"/>
      <c r="C22" s="19" t="n"/>
      <c r="D22" s="19" t="n"/>
      <c r="E22" s="19" t="n"/>
    </row>
    <row r="23">
      <c r="A23" s="19" t="n"/>
      <c r="B23" s="19" t="n"/>
      <c r="C23" s="19" t="n"/>
      <c r="D23" s="19" t="n"/>
      <c r="E23" s="19" t="n"/>
    </row>
    <row r="24">
      <c r="A24" s="19" t="n"/>
      <c r="B24" s="19" t="n"/>
      <c r="C24" s="19" t="n"/>
      <c r="D24" s="19" t="n"/>
      <c r="E24" s="19" t="n"/>
    </row>
    <row r="25">
      <c r="A25" s="19" t="n"/>
      <c r="B25" s="19" t="n"/>
      <c r="C25" s="19" t="n"/>
      <c r="D25" s="19" t="n"/>
      <c r="E25" s="19" t="n"/>
    </row>
    <row r="26">
      <c r="A26" s="19" t="n"/>
      <c r="B26" s="19" t="n"/>
      <c r="C26" s="19" t="n"/>
      <c r="D26" s="19" t="n"/>
      <c r="E26" s="19" t="n"/>
    </row>
    <row r="27">
      <c r="A27" s="19" t="n"/>
      <c r="B27" s="19" t="n"/>
      <c r="C27" s="19" t="n"/>
      <c r="D27" s="19" t="n"/>
      <c r="E27" s="19" t="n"/>
    </row>
    <row r="28">
      <c r="A28" s="19" t="n"/>
      <c r="B28" s="19" t="n"/>
      <c r="C28" s="19" t="n"/>
      <c r="D28" s="19" t="n"/>
      <c r="E28" s="19" t="n"/>
    </row>
    <row r="29">
      <c r="A29" s="19" t="n"/>
      <c r="B29" s="19" t="n"/>
      <c r="C29" s="19" t="n"/>
      <c r="D29" s="19" t="n"/>
      <c r="E29" s="19" t="n"/>
    </row>
    <row r="30">
      <c r="A30" s="19" t="n"/>
      <c r="B30" s="19" t="n"/>
      <c r="C30" s="19" t="n"/>
      <c r="D30" s="19" t="n"/>
      <c r="E30" s="19" t="n"/>
    </row>
    <row r="31">
      <c r="A31" s="19" t="n"/>
      <c r="B31" s="19" t="n"/>
      <c r="C31" s="19" t="n"/>
      <c r="D31" s="19" t="n"/>
      <c r="E31" s="19" t="n"/>
    </row>
    <row r="32">
      <c r="A32" s="19" t="n"/>
      <c r="B32" s="19" t="n"/>
      <c r="C32" s="19" t="n"/>
      <c r="D32" s="19" t="n"/>
      <c r="E32" s="19" t="n"/>
    </row>
    <row r="33">
      <c r="A33" s="19" t="n"/>
      <c r="B33" s="19" t="n"/>
      <c r="C33" s="19" t="n"/>
      <c r="D33" s="19" t="n"/>
      <c r="E33" s="19" t="n"/>
    </row>
    <row r="34">
      <c r="A34" s="19" t="n"/>
      <c r="B34" s="19" t="n"/>
      <c r="C34" s="19" t="n"/>
      <c r="D34" s="19" t="n"/>
      <c r="E34" s="19" t="n"/>
    </row>
    <row r="35">
      <c r="A35" s="19" t="n"/>
      <c r="B35" s="19" t="n"/>
      <c r="C35" s="19" t="n"/>
      <c r="D35" s="19" t="n"/>
      <c r="E35" s="19" t="n"/>
    </row>
    <row r="36">
      <c r="A36" s="19" t="n"/>
      <c r="B36" s="19" t="n"/>
      <c r="C36" s="19" t="n"/>
      <c r="D36" s="19" t="n"/>
      <c r="E36" s="19" t="n"/>
    </row>
    <row r="37">
      <c r="A37" s="19" t="n"/>
      <c r="B37" s="19" t="n"/>
      <c r="C37" s="19" t="n"/>
      <c r="D37" s="19" t="n"/>
      <c r="E37" s="19" t="n"/>
    </row>
    <row r="38">
      <c r="A38" s="19" t="n"/>
      <c r="B38" s="19" t="n"/>
      <c r="C38" s="19" t="n"/>
      <c r="D38" s="19" t="n"/>
      <c r="E38" s="19" t="n"/>
    </row>
    <row r="39">
      <c r="A39" s="19" t="n"/>
      <c r="B39" s="19" t="n"/>
      <c r="C39" s="19" t="n"/>
      <c r="D39" s="19" t="n"/>
      <c r="E39" s="19" t="n"/>
    </row>
    <row r="40">
      <c r="A40" s="19" t="n"/>
      <c r="B40" s="19" t="n"/>
      <c r="C40" s="19" t="n"/>
      <c r="D40" s="19" t="n"/>
      <c r="E40" s="19" t="n"/>
    </row>
    <row r="41">
      <c r="A41" s="19" t="n"/>
      <c r="B41" s="19" t="n"/>
      <c r="C41" s="19" t="n"/>
      <c r="D41" s="19" t="n"/>
      <c r="E41" s="19" t="n"/>
    </row>
    <row r="42">
      <c r="A42" s="19" t="n"/>
      <c r="B42" s="19" t="n"/>
      <c r="C42" s="19" t="n"/>
      <c r="D42" s="19" t="n"/>
      <c r="E42" s="19" t="n"/>
    </row>
    <row r="43">
      <c r="A43" s="19" t="n"/>
      <c r="B43" s="19" t="n"/>
      <c r="C43" s="19" t="n"/>
      <c r="D43" s="19" t="n"/>
      <c r="E43" s="19" t="n"/>
    </row>
    <row r="44">
      <c r="A44" s="19" t="n"/>
      <c r="B44" s="19" t="n"/>
      <c r="C44" s="19" t="n"/>
      <c r="D44" s="19" t="n"/>
      <c r="E44" s="19" t="n"/>
    </row>
    <row r="45">
      <c r="A45" s="19" t="n"/>
      <c r="B45" s="19" t="n"/>
      <c r="C45" s="19" t="n"/>
      <c r="D45" s="19" t="n"/>
      <c r="E45" s="19" t="n"/>
    </row>
    <row r="46">
      <c r="A46" s="19" t="n"/>
      <c r="B46" s="19" t="n"/>
      <c r="C46" s="19" t="n"/>
      <c r="D46" s="19" t="n"/>
      <c r="E46" s="19" t="n"/>
    </row>
    <row r="47">
      <c r="A47" s="19" t="n"/>
      <c r="B47" s="19" t="n"/>
      <c r="C47" s="19" t="n"/>
      <c r="D47" s="19" t="n"/>
      <c r="E47" s="19" t="n"/>
    </row>
    <row r="48">
      <c r="A48" s="19" t="n"/>
      <c r="B48" s="19" t="n"/>
      <c r="C48" s="19" t="n"/>
      <c r="D48" s="19" t="n"/>
      <c r="E48" s="19" t="n"/>
    </row>
    <row r="49">
      <c r="A49" s="19" t="n"/>
      <c r="B49" s="19" t="n"/>
      <c r="C49" s="19" t="n"/>
      <c r="D49" s="19" t="n"/>
      <c r="E49" s="19" t="n"/>
    </row>
    <row r="50">
      <c r="A50" s="19" t="n"/>
      <c r="B50" s="19" t="n"/>
      <c r="C50" s="19" t="n"/>
      <c r="D50" s="19" t="n"/>
      <c r="E50" s="19" t="n"/>
    </row>
    <row r="51">
      <c r="A51" s="19" t="n"/>
      <c r="B51" s="19" t="n"/>
      <c r="C51" s="19" t="n"/>
      <c r="D51" s="19" t="n"/>
      <c r="E51" s="19" t="n"/>
    </row>
    <row r="52">
      <c r="A52" s="19" t="n"/>
      <c r="B52" s="19" t="n"/>
      <c r="C52" s="19" t="n"/>
      <c r="D52" s="19" t="n"/>
      <c r="E52" s="19" t="n"/>
    </row>
    <row r="53">
      <c r="A53" s="19" t="n"/>
      <c r="B53" s="19" t="n"/>
      <c r="C53" s="19" t="n"/>
      <c r="D53" s="19" t="n"/>
      <c r="E53" s="19" t="n"/>
    </row>
    <row r="54">
      <c r="A54" s="19" t="n"/>
      <c r="B54" s="19" t="n"/>
      <c r="C54" s="19" t="n"/>
      <c r="D54" s="19" t="n"/>
      <c r="E54" s="19" t="n"/>
    </row>
    <row r="55">
      <c r="A55" s="19" t="n"/>
      <c r="B55" s="19" t="n"/>
      <c r="C55" s="19" t="n"/>
      <c r="D55" s="19" t="n"/>
      <c r="E55" s="19" t="n"/>
    </row>
    <row r="56">
      <c r="A56" s="19" t="n"/>
      <c r="B56" s="19" t="n"/>
      <c r="C56" s="19" t="n"/>
      <c r="D56" s="19" t="n"/>
      <c r="E56" s="19" t="n"/>
    </row>
    <row r="57">
      <c r="A57" s="19" t="n"/>
      <c r="B57" s="19" t="n"/>
      <c r="C57" s="19" t="n"/>
      <c r="D57" s="19" t="n"/>
      <c r="E57" s="19" t="n"/>
    </row>
    <row r="58">
      <c r="A58" s="19" t="n"/>
      <c r="B58" s="19" t="n"/>
      <c r="C58" s="19" t="n"/>
      <c r="D58" s="19" t="n"/>
      <c r="E58" s="19" t="n"/>
    </row>
    <row r="59">
      <c r="A59" s="19" t="n"/>
      <c r="B59" s="19" t="n"/>
      <c r="C59" s="19" t="n"/>
      <c r="D59" s="19" t="n"/>
      <c r="E59" s="19" t="n"/>
    </row>
    <row r="60">
      <c r="A60" s="19" t="n"/>
      <c r="B60" s="19" t="n"/>
      <c r="C60" s="19" t="n"/>
      <c r="D60" s="19" t="n"/>
      <c r="E60" s="19" t="n"/>
    </row>
    <row r="61">
      <c r="A61" s="19" t="n"/>
      <c r="B61" s="19" t="n"/>
      <c r="C61" s="19" t="n"/>
      <c r="D61" s="19" t="n"/>
      <c r="E61" s="19" t="n"/>
    </row>
    <row r="62">
      <c r="A62" s="19" t="n"/>
      <c r="B62" s="19" t="n"/>
      <c r="C62" s="19" t="n"/>
      <c r="D62" s="19" t="n"/>
      <c r="E62" s="19" t="n"/>
    </row>
    <row r="63">
      <c r="A63" s="19" t="n"/>
      <c r="B63" s="19" t="n"/>
      <c r="C63" s="19" t="n"/>
      <c r="D63" s="19" t="n"/>
      <c r="E63" s="19" t="n"/>
    </row>
    <row r="64">
      <c r="A64" s="19" t="n"/>
      <c r="B64" s="19" t="n"/>
      <c r="C64" s="19" t="n"/>
      <c r="D64" s="19" t="n"/>
      <c r="E64" s="19" t="n"/>
    </row>
    <row r="65">
      <c r="A65" s="19" t="n"/>
      <c r="B65" s="19" t="n"/>
      <c r="C65" s="19" t="n"/>
      <c r="D65" s="19" t="n"/>
      <c r="E65" s="19" t="n"/>
    </row>
    <row r="66">
      <c r="A66" s="19" t="n"/>
      <c r="B66" s="19" t="n"/>
      <c r="C66" s="19" t="n"/>
      <c r="D66" s="19" t="n"/>
      <c r="E66" s="19" t="n"/>
    </row>
    <row r="67">
      <c r="A67" s="19" t="n"/>
      <c r="B67" s="19" t="n"/>
      <c r="C67" s="19" t="n"/>
      <c r="D67" s="19" t="n"/>
      <c r="E67" s="19" t="n"/>
    </row>
    <row r="68">
      <c r="A68" s="19" t="n"/>
      <c r="B68" s="19" t="n"/>
      <c r="C68" s="19" t="n"/>
      <c r="D68" s="19" t="n"/>
      <c r="E68" s="19" t="n"/>
    </row>
    <row r="69">
      <c r="A69" s="19" t="n"/>
      <c r="B69" s="19" t="n"/>
      <c r="C69" s="19" t="n"/>
      <c r="D69" s="19" t="n"/>
      <c r="E69" s="19" t="n"/>
    </row>
    <row r="70">
      <c r="A70" s="19" t="n"/>
      <c r="B70" s="19" t="n"/>
      <c r="C70" s="19" t="n"/>
      <c r="D70" s="19" t="n"/>
      <c r="E70" s="19" t="n"/>
    </row>
    <row r="71">
      <c r="A71" s="19" t="n"/>
      <c r="B71" s="19" t="n"/>
      <c r="C71" s="19" t="n"/>
      <c r="D71" s="19" t="n"/>
      <c r="E71" s="19" t="n"/>
    </row>
    <row r="72">
      <c r="A72" s="19" t="n"/>
      <c r="B72" s="19" t="n"/>
      <c r="C72" s="19" t="n"/>
      <c r="D72" s="19" t="n"/>
      <c r="E72" s="19" t="n"/>
    </row>
    <row r="73">
      <c r="A73" s="19" t="n"/>
      <c r="B73" s="19" t="n"/>
      <c r="C73" s="19" t="n"/>
      <c r="D73" s="19" t="n"/>
      <c r="E73" s="19" t="n"/>
    </row>
    <row r="74">
      <c r="A74" s="19" t="n"/>
      <c r="B74" s="19" t="n"/>
      <c r="C74" s="19" t="n"/>
      <c r="D74" s="19" t="n"/>
      <c r="E74" s="19" t="n"/>
    </row>
    <row r="75">
      <c r="A75" s="19" t="n"/>
      <c r="B75" s="19" t="n"/>
      <c r="C75" s="19" t="n"/>
      <c r="D75" s="19" t="n"/>
      <c r="E75" s="19" t="n"/>
    </row>
    <row r="76">
      <c r="A76" s="19" t="n"/>
      <c r="B76" s="19" t="n"/>
      <c r="C76" s="19" t="n"/>
      <c r="D76" s="19" t="n"/>
      <c r="E76" s="19" t="n"/>
    </row>
    <row r="77">
      <c r="A77" s="19" t="n"/>
      <c r="B77" s="19" t="n"/>
      <c r="C77" s="19" t="n"/>
      <c r="D77" s="19" t="n"/>
      <c r="E77" s="19" t="n"/>
    </row>
    <row r="78">
      <c r="A78" s="19" t="n"/>
      <c r="B78" s="19" t="n"/>
      <c r="C78" s="19" t="n"/>
      <c r="D78" s="19" t="n"/>
      <c r="E78" s="19" t="n"/>
    </row>
    <row r="79">
      <c r="A79" s="19" t="n"/>
      <c r="B79" s="19" t="n"/>
      <c r="C79" s="19" t="n"/>
      <c r="D79" s="19" t="n"/>
      <c r="E79" s="19" t="n"/>
    </row>
    <row r="80">
      <c r="A80" s="19" t="n"/>
      <c r="B80" s="19" t="n"/>
      <c r="C80" s="19" t="n"/>
      <c r="D80" s="19" t="n"/>
      <c r="E80" s="19" t="n"/>
    </row>
    <row r="81">
      <c r="A81" s="19" t="n"/>
      <c r="B81" s="19" t="n"/>
      <c r="C81" s="19" t="n"/>
      <c r="D81" s="19" t="n"/>
      <c r="E81" s="19" t="n"/>
    </row>
    <row r="82">
      <c r="A82" s="19" t="n"/>
      <c r="B82" s="19" t="n"/>
      <c r="C82" s="19" t="n"/>
      <c r="D82" s="19" t="n"/>
      <c r="E82" s="19" t="n"/>
    </row>
    <row r="83">
      <c r="A83" s="19" t="n"/>
      <c r="B83" s="19" t="n"/>
      <c r="C83" s="19" t="n"/>
      <c r="D83" s="19" t="n"/>
      <c r="E83" s="19" t="n"/>
    </row>
    <row r="84">
      <c r="A84" s="19" t="n"/>
      <c r="B84" s="19" t="n"/>
      <c r="C84" s="19" t="n"/>
      <c r="D84" s="19" t="n"/>
      <c r="E84" s="19" t="n"/>
    </row>
    <row r="85">
      <c r="A85" s="19" t="n"/>
      <c r="B85" s="19" t="n"/>
      <c r="C85" s="19" t="n"/>
      <c r="D85" s="19" t="n"/>
      <c r="E85" s="19" t="n"/>
    </row>
    <row r="86">
      <c r="A86" s="19" t="n"/>
      <c r="B86" s="19" t="n"/>
      <c r="C86" s="19" t="n"/>
      <c r="D86" s="19" t="n"/>
      <c r="E86" s="19" t="n"/>
    </row>
    <row r="87">
      <c r="A87" s="19" t="n"/>
      <c r="B87" s="19" t="n"/>
      <c r="C87" s="19" t="n"/>
      <c r="D87" s="19" t="n"/>
      <c r="E87" s="19" t="n"/>
    </row>
    <row r="88">
      <c r="A88" s="19" t="n"/>
      <c r="B88" s="19" t="n"/>
      <c r="C88" s="19" t="n"/>
      <c r="D88" s="19" t="n"/>
      <c r="E88" s="19" t="n"/>
    </row>
    <row r="89">
      <c r="A89" s="19" t="n"/>
      <c r="B89" s="19" t="n"/>
      <c r="C89" s="19" t="n"/>
      <c r="D89" s="19" t="n"/>
      <c r="E89" s="19" t="n"/>
    </row>
    <row r="90">
      <c r="A90" s="19" t="n"/>
      <c r="B90" s="19" t="n"/>
      <c r="C90" s="19" t="n"/>
      <c r="D90" s="19" t="n"/>
      <c r="E90" s="19" t="n"/>
    </row>
    <row r="91">
      <c r="A91" s="19" t="n"/>
      <c r="B91" s="19" t="n"/>
      <c r="C91" s="19" t="n"/>
      <c r="D91" s="19" t="n"/>
      <c r="E91" s="19" t="n"/>
    </row>
    <row r="92">
      <c r="A92" s="19" t="n"/>
      <c r="B92" s="19" t="n"/>
      <c r="C92" s="19" t="n"/>
      <c r="D92" s="19" t="n"/>
      <c r="E92" s="19" t="n"/>
    </row>
    <row r="93">
      <c r="A93" s="19" t="n"/>
      <c r="B93" s="19" t="n"/>
      <c r="C93" s="19" t="n"/>
      <c r="D93" s="19" t="n"/>
      <c r="E93" s="19" t="n"/>
    </row>
    <row r="94">
      <c r="A94" s="19" t="n"/>
      <c r="B94" s="19" t="n"/>
      <c r="C94" s="19" t="n"/>
      <c r="D94" s="19" t="n"/>
      <c r="E94" s="19" t="n"/>
    </row>
    <row r="95">
      <c r="A95" s="19" t="n"/>
      <c r="B95" s="19" t="n"/>
      <c r="C95" s="19" t="n"/>
      <c r="D95" s="19" t="n"/>
      <c r="E95" s="19" t="n"/>
    </row>
    <row r="96">
      <c r="A96" s="19" t="n"/>
      <c r="B96" s="19" t="n"/>
      <c r="C96" s="19" t="n"/>
      <c r="D96" s="19" t="n"/>
      <c r="E96" s="19" t="n"/>
    </row>
    <row r="97">
      <c r="A97" s="19" t="n"/>
      <c r="B97" s="19" t="n"/>
      <c r="C97" s="19" t="n"/>
      <c r="D97" s="19" t="n"/>
      <c r="E97" s="19" t="n"/>
    </row>
    <row r="98">
      <c r="A98" s="19" t="n"/>
      <c r="B98" s="19" t="n"/>
      <c r="C98" s="19" t="n"/>
      <c r="D98" s="19" t="n"/>
      <c r="E98" s="19" t="n"/>
    </row>
    <row r="99">
      <c r="A99" s="19" t="n"/>
      <c r="B99" s="19" t="n"/>
      <c r="C99" s="19" t="n"/>
      <c r="D99" s="19" t="n"/>
      <c r="E99" s="19" t="n"/>
    </row>
    <row r="100">
      <c r="A100" s="19" t="n"/>
      <c r="B100" s="19" t="n"/>
      <c r="C100" s="19" t="n"/>
      <c r="D100" s="19" t="n"/>
      <c r="E100" s="19" t="n"/>
    </row>
    <row r="101">
      <c r="A101" s="19" t="n"/>
      <c r="B101" s="19" t="n"/>
      <c r="C101" s="19" t="n"/>
      <c r="D101" s="19" t="n"/>
      <c r="E101" s="19" t="n"/>
    </row>
    <row r="102">
      <c r="A102" s="19" t="n"/>
      <c r="B102" s="19" t="n"/>
      <c r="C102" s="19" t="n"/>
      <c r="D102" s="19" t="n"/>
      <c r="E102" s="19" t="n"/>
    </row>
    <row r="103">
      <c r="A103" s="19" t="n"/>
      <c r="B103" s="19" t="n"/>
      <c r="C103" s="19" t="n"/>
      <c r="D103" s="19" t="n"/>
      <c r="E103" s="19" t="n"/>
    </row>
    <row r="104">
      <c r="A104" s="19" t="n"/>
      <c r="B104" s="19" t="n"/>
      <c r="C104" s="19" t="n"/>
      <c r="D104" s="19" t="n"/>
      <c r="E104" s="19" t="n"/>
    </row>
    <row r="105">
      <c r="A105" s="19" t="n"/>
      <c r="B105" s="19" t="n"/>
      <c r="C105" s="19" t="n"/>
      <c r="D105" s="19" t="n"/>
      <c r="E105" s="19" t="n"/>
    </row>
    <row r="106">
      <c r="A106" s="19" t="n"/>
      <c r="B106" s="19" t="n"/>
      <c r="C106" s="19" t="n"/>
      <c r="D106" s="19" t="n"/>
      <c r="E106" s="19" t="n"/>
    </row>
    <row r="107">
      <c r="A107" s="19" t="n"/>
      <c r="B107" s="19" t="n"/>
      <c r="C107" s="19" t="n"/>
      <c r="D107" s="19" t="n"/>
      <c r="E107" s="19" t="n"/>
    </row>
    <row r="108">
      <c r="A108" s="19" t="n"/>
      <c r="B108" s="19" t="n"/>
      <c r="C108" s="19" t="n"/>
      <c r="D108" s="19" t="n"/>
      <c r="E108" s="19" t="n"/>
    </row>
    <row r="109">
      <c r="A109" s="19" t="n"/>
      <c r="B109" s="19" t="n"/>
      <c r="C109" s="19" t="n"/>
      <c r="D109" s="19" t="n"/>
      <c r="E109" s="19" t="n"/>
    </row>
    <row r="110">
      <c r="A110" s="19" t="n"/>
      <c r="B110" s="19" t="n"/>
      <c r="C110" s="19" t="n"/>
      <c r="D110" s="19" t="n"/>
      <c r="E110" s="19" t="n"/>
    </row>
    <row r="111">
      <c r="A111" s="19" t="n"/>
      <c r="B111" s="19" t="n"/>
      <c r="C111" s="19" t="n"/>
      <c r="D111" s="19" t="n"/>
      <c r="E111" s="19" t="n"/>
    </row>
    <row r="112">
      <c r="A112" s="19" t="n"/>
      <c r="B112" s="19" t="n"/>
      <c r="C112" s="19" t="n"/>
      <c r="D112" s="19" t="n"/>
      <c r="E112" s="19" t="n"/>
    </row>
    <row r="113">
      <c r="A113" s="19" t="n"/>
      <c r="B113" s="19" t="n"/>
      <c r="C113" s="19" t="n"/>
      <c r="D113" s="19" t="n"/>
      <c r="E113" s="19" t="n"/>
    </row>
    <row r="114">
      <c r="A114" s="19" t="n"/>
      <c r="B114" s="19" t="n"/>
      <c r="C114" s="19" t="n"/>
      <c r="D114" s="19" t="n"/>
      <c r="E114" s="19" t="n"/>
    </row>
    <row r="115">
      <c r="A115" s="19" t="n"/>
      <c r="B115" s="19" t="n"/>
      <c r="C115" s="19" t="n"/>
      <c r="D115" s="19" t="n"/>
      <c r="E115" s="19" t="n"/>
    </row>
    <row r="116">
      <c r="A116" s="19" t="n"/>
      <c r="B116" s="19" t="n"/>
      <c r="C116" s="19" t="n"/>
      <c r="D116" s="19" t="n"/>
      <c r="E116" s="19" t="n"/>
    </row>
    <row r="117">
      <c r="A117" s="19" t="n"/>
      <c r="B117" s="19" t="n"/>
      <c r="C117" s="19" t="n"/>
      <c r="D117" s="19" t="n"/>
      <c r="E117" s="19" t="n"/>
    </row>
    <row r="118">
      <c r="A118" s="19" t="n"/>
      <c r="B118" s="19" t="n"/>
      <c r="C118" s="19" t="n"/>
      <c r="D118" s="19" t="n"/>
      <c r="E118" s="19" t="n"/>
    </row>
    <row r="119">
      <c r="A119" s="19" t="n"/>
      <c r="B119" s="19" t="n"/>
      <c r="C119" s="19" t="n"/>
      <c r="D119" s="19" t="n"/>
      <c r="E119" s="19" t="n"/>
    </row>
    <row r="120">
      <c r="A120" s="19" t="n"/>
      <c r="B120" s="19" t="n"/>
      <c r="C120" s="19" t="n"/>
      <c r="D120" s="19" t="n"/>
      <c r="E120" s="19" t="n"/>
    </row>
    <row r="121">
      <c r="A121" s="19" t="n"/>
      <c r="B121" s="19" t="n"/>
      <c r="C121" s="19" t="n"/>
      <c r="D121" s="19" t="n"/>
      <c r="E121" s="19" t="n"/>
    </row>
    <row r="122">
      <c r="A122" s="19" t="n"/>
      <c r="B122" s="19" t="n"/>
      <c r="C122" s="19" t="n"/>
      <c r="D122" s="19" t="n"/>
      <c r="E122" s="19" t="n"/>
    </row>
    <row r="123">
      <c r="A123" s="19" t="n"/>
      <c r="B123" s="19" t="n"/>
      <c r="C123" s="19" t="n"/>
      <c r="D123" s="19" t="n"/>
      <c r="E123" s="19" t="n"/>
    </row>
    <row r="124">
      <c r="A124" s="19" t="n"/>
      <c r="B124" s="19" t="n"/>
      <c r="C124" s="19" t="n"/>
      <c r="D124" s="19" t="n"/>
      <c r="E124" s="19" t="n"/>
    </row>
    <row r="125">
      <c r="A125" s="19" t="n"/>
      <c r="B125" s="19" t="n"/>
      <c r="C125" s="19" t="n"/>
      <c r="D125" s="19" t="n"/>
      <c r="E125" s="19" t="n"/>
    </row>
    <row r="126">
      <c r="A126" s="19" t="n"/>
      <c r="B126" s="19" t="n"/>
      <c r="C126" s="19" t="n"/>
      <c r="D126" s="19" t="n"/>
      <c r="E126" s="19" t="n"/>
    </row>
    <row r="127">
      <c r="A127" s="19" t="n"/>
      <c r="B127" s="19" t="n"/>
      <c r="C127" s="19" t="n"/>
      <c r="D127" s="19" t="n"/>
      <c r="E127" s="19" t="n"/>
    </row>
    <row r="128">
      <c r="A128" s="19" t="n"/>
      <c r="B128" s="19" t="n"/>
      <c r="C128" s="19" t="n"/>
      <c r="D128" s="19" t="n"/>
      <c r="E128" s="19" t="n"/>
    </row>
    <row r="129">
      <c r="A129" s="19" t="n"/>
      <c r="B129" s="19" t="n"/>
      <c r="C129" s="19" t="n"/>
      <c r="D129" s="19" t="n"/>
      <c r="E129" s="19" t="n"/>
    </row>
    <row r="130">
      <c r="A130" s="19" t="n"/>
      <c r="B130" s="19" t="n"/>
      <c r="C130" s="19" t="n"/>
      <c r="D130" s="19" t="n"/>
      <c r="E130" s="19" t="n"/>
    </row>
    <row r="131">
      <c r="A131" s="19" t="n"/>
      <c r="B131" s="19" t="n"/>
      <c r="C131" s="19" t="n"/>
      <c r="D131" s="19" t="n"/>
      <c r="E131" s="19" t="n"/>
    </row>
    <row r="132">
      <c r="A132" s="19" t="n"/>
      <c r="B132" s="19" t="n"/>
      <c r="C132" s="19" t="n"/>
      <c r="D132" s="19" t="n"/>
      <c r="E132" s="19" t="n"/>
    </row>
    <row r="133">
      <c r="A133" s="19" t="n"/>
      <c r="B133" s="19" t="n"/>
      <c r="C133" s="19" t="n"/>
      <c r="D133" s="19" t="n"/>
      <c r="E133" s="19" t="n"/>
    </row>
    <row r="134">
      <c r="A134" s="19" t="n"/>
      <c r="B134" s="19" t="n"/>
      <c r="C134" s="19" t="n"/>
      <c r="D134" s="19" t="n"/>
      <c r="E134" s="19" t="n"/>
    </row>
    <row r="135">
      <c r="A135" s="19" t="n"/>
      <c r="B135" s="19" t="n"/>
      <c r="C135" s="19" t="n"/>
      <c r="D135" s="19" t="n"/>
      <c r="E135" s="19" t="n"/>
    </row>
    <row r="136">
      <c r="A136" s="19" t="n"/>
      <c r="B136" s="19" t="n"/>
      <c r="C136" s="19" t="n"/>
      <c r="D136" s="19" t="n"/>
      <c r="E136" s="19" t="n"/>
    </row>
    <row r="137">
      <c r="A137" s="19" t="n"/>
      <c r="B137" s="19" t="n"/>
      <c r="C137" s="19" t="n"/>
      <c r="D137" s="19" t="n"/>
      <c r="E137" s="19" t="n"/>
    </row>
    <row r="138">
      <c r="A138" s="19" t="n"/>
      <c r="B138" s="19" t="n"/>
      <c r="C138" s="19" t="n"/>
      <c r="D138" s="19" t="n"/>
      <c r="E138" s="19" t="n"/>
    </row>
    <row r="139">
      <c r="A139" s="19" t="n"/>
      <c r="B139" s="19" t="n"/>
      <c r="C139" s="19" t="n"/>
      <c r="D139" s="19" t="n"/>
      <c r="E139" s="19" t="n"/>
    </row>
    <row r="140">
      <c r="A140" s="19" t="n"/>
      <c r="B140" s="19" t="n"/>
      <c r="C140" s="19" t="n"/>
      <c r="D140" s="19" t="n"/>
      <c r="E140" s="19" t="n"/>
    </row>
    <row r="141">
      <c r="A141" s="19" t="n"/>
      <c r="B141" s="19" t="n"/>
      <c r="C141" s="19" t="n"/>
      <c r="D141" s="19" t="n"/>
      <c r="E141" s="19" t="n"/>
    </row>
    <row r="142">
      <c r="A142" s="19" t="n"/>
      <c r="B142" s="19" t="n"/>
      <c r="C142" s="19" t="n"/>
      <c r="D142" s="19" t="n"/>
      <c r="E142" s="19" t="n"/>
    </row>
    <row r="143">
      <c r="A143" s="19" t="n"/>
      <c r="B143" s="19" t="n"/>
      <c r="C143" s="19" t="n"/>
      <c r="D143" s="19" t="n"/>
      <c r="E143" s="19" t="n"/>
    </row>
    <row r="144">
      <c r="A144" s="19" t="n"/>
      <c r="B144" s="19" t="n"/>
      <c r="C144" s="19" t="n"/>
      <c r="D144" s="19" t="n"/>
      <c r="E144" s="19" t="n"/>
    </row>
    <row r="145">
      <c r="A145" s="19" t="n"/>
      <c r="B145" s="19" t="n"/>
      <c r="C145" s="19" t="n"/>
      <c r="D145" s="19" t="n"/>
      <c r="E145" s="19" t="n"/>
    </row>
    <row r="146">
      <c r="A146" s="19" t="n"/>
      <c r="B146" s="19" t="n"/>
      <c r="C146" s="19" t="n"/>
      <c r="D146" s="19" t="n"/>
      <c r="E146" s="19" t="n"/>
    </row>
    <row r="147">
      <c r="A147" s="19" t="n"/>
      <c r="B147" s="19" t="n"/>
      <c r="C147" s="19" t="n"/>
      <c r="D147" s="19" t="n"/>
      <c r="E147" s="19" t="n"/>
    </row>
    <row r="148">
      <c r="A148" s="19" t="n"/>
      <c r="B148" s="19" t="n"/>
      <c r="C148" s="19" t="n"/>
      <c r="D148" s="19" t="n"/>
      <c r="E148" s="19" t="n"/>
    </row>
    <row r="149">
      <c r="A149" s="19" t="n"/>
      <c r="B149" s="19" t="n"/>
      <c r="C149" s="19" t="n"/>
      <c r="D149" s="19" t="n"/>
      <c r="E149" s="19" t="n"/>
    </row>
    <row r="150">
      <c r="A150" s="19" t="n"/>
      <c r="B150" s="19" t="n"/>
      <c r="C150" s="19" t="n"/>
      <c r="D150" s="19" t="n"/>
      <c r="E150" s="19" t="n"/>
    </row>
  </sheetData>
  <dataValidations count="1">
    <dataValidation sqref="B2:B150" showDropDown="0" showInputMessage="0" showErrorMessage="0" allowBlank="1" type="list">
      <formula1>"non_registered,rrsp_p1,rrsp_p2,tfsa,resp,not_modeled"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cols>
    <col width="28" customWidth="1" min="1" max="1"/>
    <col width="12" customWidth="1" min="2" max="2"/>
    <col width="70" customWidth="1" min="3" max="3"/>
    <col width="12" customWidth="1" min="5" max="5"/>
    <col width="8" customWidth="1" min="6" max="6"/>
    <col width="8" customWidth="1" min="7" max="7"/>
    <col width="2" customWidth="1" min="8" max="8"/>
    <col width="12" customWidth="1" min="9" max="9"/>
    <col width="8" customWidth="1" min="10" max="10"/>
    <col width="8" customWidth="1" min="11" max="11"/>
    <col width="2" customWidth="1" min="12" max="12"/>
  </cols>
  <sheetData>
    <row r="1">
      <c r="A1" s="2" t="inlineStr">
        <is>
          <t>Tax law used by the model (each spouse files separately; pension income is split). Yellow cells can be edited; indexed amounts grow with inflation after TAX_YEAR.</t>
        </is>
      </c>
    </row>
    <row r="2">
      <c r="A2" t="inlineStr">
        <is>
          <t>Sources: CRA 2026 indexation (canada.ca, tax rates and payroll deduction tables); BC Budget 2026 (lowest rate 5.6%, indexing paused 2027-2030); ESDC CPP/OAS amounts (Jan 2026). Update each January.</t>
        </is>
      </c>
    </row>
    <row r="3">
      <c r="A3" s="18" t="inlineStr">
        <is>
          <t>name</t>
        </is>
      </c>
      <c r="B3" s="18" t="inlineStr">
        <is>
          <t>value</t>
        </is>
      </c>
      <c r="C3" s="18" t="inlineStr">
        <is>
          <t>notes</t>
        </is>
      </c>
      <c r="E3" s="2" t="inlineStr">
        <is>
          <t>Federal brackets</t>
        </is>
      </c>
      <c r="I3" s="2" t="inlineStr">
        <is>
          <t>Provincial brackets: British Columbia</t>
        </is>
      </c>
      <c r="M3" s="2" t="inlineStr">
        <is>
          <t>RRIF minimum withdrawal (age on 1 January)</t>
        </is>
      </c>
    </row>
    <row r="4">
      <c r="A4" t="inlineStr">
        <is>
          <t>TAX_YEAR</t>
        </is>
      </c>
      <c r="B4" s="19" t="n">
        <v>2026</v>
      </c>
      <c r="C4" t="inlineStr">
        <is>
          <t>Year the amounts on this tab are for; indexed amounts grow with inflation after it</t>
        </is>
      </c>
      <c r="E4" s="18" t="inlineStr">
        <is>
          <t>over</t>
        </is>
      </c>
      <c r="F4" s="18" t="inlineStr">
        <is>
          <t>rate</t>
        </is>
      </c>
      <c r="G4" s="18" t="inlineStr">
        <is>
          <t>step</t>
        </is>
      </c>
      <c r="I4" s="18" t="inlineStr">
        <is>
          <t>over</t>
        </is>
      </c>
      <c r="J4" s="18" t="inlineStr">
        <is>
          <t>rate</t>
        </is>
      </c>
      <c r="K4" s="18" t="inlineStr">
        <is>
          <t>step</t>
        </is>
      </c>
      <c r="M4" s="18" t="inlineStr">
        <is>
          <t>age</t>
        </is>
      </c>
      <c r="N4" s="18" t="inlineStr">
        <is>
          <t>minimum</t>
        </is>
      </c>
    </row>
    <row r="5">
      <c r="A5" t="inlineStr">
        <is>
          <t>FED_CREDIT_RATE</t>
        </is>
      </c>
      <c r="B5" s="10" t="n">
        <v>0.14</v>
      </c>
      <c r="C5" t="inlineStr">
        <is>
          <t>Federal non-refundable credits are worth this rate (lowest bracket, 2026+)</t>
        </is>
      </c>
      <c r="E5" s="8" t="n">
        <v>0</v>
      </c>
      <c r="F5" s="26" t="n">
        <v>0.14</v>
      </c>
      <c r="G5" s="27">
        <f>IF(F5="",0,F5-0)</f>
        <v/>
      </c>
      <c r="I5" s="8" t="n">
        <v>0</v>
      </c>
      <c r="J5" s="26" t="n">
        <v>0.056</v>
      </c>
      <c r="K5" s="27">
        <f>IF(J5="",0,J5-0)</f>
        <v/>
      </c>
      <c r="M5" t="n">
        <v>71</v>
      </c>
      <c r="N5" s="27" t="n">
        <v>0.0528</v>
      </c>
    </row>
    <row r="6">
      <c r="A6" t="inlineStr">
        <is>
          <t>FED_BPA_MAX</t>
        </is>
      </c>
      <c r="B6" s="19" t="n">
        <v>16452</v>
      </c>
      <c r="C6" t="inlineStr">
        <is>
          <t>Federal basic personal amount (full)</t>
        </is>
      </c>
      <c r="E6" s="8" t="n">
        <v>58523</v>
      </c>
      <c r="F6" s="26" t="n">
        <v>0.205</v>
      </c>
      <c r="G6" s="27">
        <f>IF(F6="",0,F6-F5)</f>
        <v/>
      </c>
      <c r="I6" s="8" t="n">
        <v>50363</v>
      </c>
      <c r="J6" s="26" t="n">
        <v>0.077</v>
      </c>
      <c r="K6" s="27">
        <f>IF(J6="",0,J6-J5)</f>
        <v/>
      </c>
      <c r="M6" t="n">
        <v>72</v>
      </c>
      <c r="N6" s="27" t="n">
        <v>0.054</v>
      </c>
    </row>
    <row r="7">
      <c r="A7" t="inlineStr">
        <is>
          <t>FED_BPA_MIN</t>
        </is>
      </c>
      <c r="B7" s="19" t="n">
        <v>14829</v>
      </c>
      <c r="C7" t="inlineStr">
        <is>
          <t>... reduced to this at high income</t>
        </is>
      </c>
      <c r="E7" s="8" t="n">
        <v>117045</v>
      </c>
      <c r="F7" s="26" t="n">
        <v>0.26</v>
      </c>
      <c r="G7" s="27">
        <f>IF(F7="",0,F7-F6)</f>
        <v/>
      </c>
      <c r="I7" s="8" t="n">
        <v>100728</v>
      </c>
      <c r="J7" s="26" t="n">
        <v>0.105</v>
      </c>
      <c r="K7" s="27">
        <f>IF(J7="",0,J7-J6)</f>
        <v/>
      </c>
      <c r="M7" t="n">
        <v>73</v>
      </c>
      <c r="N7" s="27" t="n">
        <v>0.0553</v>
      </c>
    </row>
    <row r="8">
      <c r="A8" t="inlineStr">
        <is>
          <t>FED_BPA_PHASE_START</t>
        </is>
      </c>
      <c r="B8" s="19" t="n">
        <v>181440</v>
      </c>
      <c r="C8" t="inlineStr">
        <is>
          <t>... reduction starts at this net income</t>
        </is>
      </c>
      <c r="E8" s="8" t="n">
        <v>181440</v>
      </c>
      <c r="F8" s="26" t="n">
        <v>0.29</v>
      </c>
      <c r="G8" s="27">
        <f>IF(F8="",0,F8-F7)</f>
        <v/>
      </c>
      <c r="I8" s="8" t="n">
        <v>115648</v>
      </c>
      <c r="J8" s="26" t="n">
        <v>0.1229</v>
      </c>
      <c r="K8" s="27">
        <f>IF(J8="",0,J8-J7)</f>
        <v/>
      </c>
      <c r="M8" t="n">
        <v>74</v>
      </c>
      <c r="N8" s="27" t="n">
        <v>0.0567</v>
      </c>
    </row>
    <row r="9">
      <c r="A9" t="inlineStr">
        <is>
          <t>FED_BPA_PHASE_END</t>
        </is>
      </c>
      <c r="B9" s="19" t="n">
        <v>258482</v>
      </c>
      <c r="C9" t="inlineStr">
        <is>
          <t>... and is complete here</t>
        </is>
      </c>
      <c r="E9" s="8" t="n">
        <v>258482</v>
      </c>
      <c r="F9" s="26" t="n">
        <v>0.33</v>
      </c>
      <c r="G9" s="27">
        <f>IF(F9="",0,F9-F8)</f>
        <v/>
      </c>
      <c r="I9" s="8" t="n">
        <v>140430</v>
      </c>
      <c r="J9" s="26" t="n">
        <v>0.147</v>
      </c>
      <c r="K9" s="27">
        <f>IF(J9="",0,J9-J8)</f>
        <v/>
      </c>
      <c r="M9" t="n">
        <v>75</v>
      </c>
      <c r="N9" s="27" t="n">
        <v>0.0582</v>
      </c>
    </row>
    <row r="10">
      <c r="A10" t="inlineStr">
        <is>
          <t>FED_AGE_AMOUNT</t>
        </is>
      </c>
      <c r="B10" s="19" t="n">
        <v>9208</v>
      </c>
      <c r="C10" t="inlineStr">
        <is>
          <t>Age amount (65+)</t>
        </is>
      </c>
      <c r="E10" s="8" t="n"/>
      <c r="F10" s="26" t="n"/>
      <c r="G10" s="27">
        <f>IF(F10="",0,F10-F9)</f>
        <v/>
      </c>
      <c r="I10" s="8" t="n">
        <v>190405</v>
      </c>
      <c r="J10" s="26" t="n">
        <v>0.168</v>
      </c>
      <c r="K10" s="27">
        <f>IF(J10="",0,J10-J9)</f>
        <v/>
      </c>
      <c r="M10" t="n">
        <v>76</v>
      </c>
      <c r="N10" s="27" t="n">
        <v>0.0598</v>
      </c>
    </row>
    <row r="11">
      <c r="A11" t="inlineStr">
        <is>
          <t>FED_AGE_THRESHOLD</t>
        </is>
      </c>
      <c r="B11" s="19" t="n">
        <v>46432</v>
      </c>
      <c r="C11" t="inlineStr">
        <is>
          <t>... reduced by 15% of net income above this</t>
        </is>
      </c>
      <c r="E11" s="8" t="n"/>
      <c r="F11" s="26" t="n"/>
      <c r="G11" s="27">
        <f>IF(F11="",0,F11-F10)</f>
        <v/>
      </c>
      <c r="I11" s="8" t="n">
        <v>265545</v>
      </c>
      <c r="J11" s="26" t="n">
        <v>0.205</v>
      </c>
      <c r="K11" s="27">
        <f>IF(J11="",0,J11-J10)</f>
        <v/>
      </c>
      <c r="M11" t="n">
        <v>77</v>
      </c>
      <c r="N11" s="27" t="n">
        <v>0.0617</v>
      </c>
    </row>
    <row r="12">
      <c r="A12" t="inlineStr">
        <is>
          <t>AGE_REDUCTION_RATE</t>
        </is>
      </c>
      <c r="B12" s="10" t="n">
        <v>0.15</v>
      </c>
      <c r="C12" t="inlineStr"/>
      <c r="E12" s="8" t="n"/>
      <c r="F12" s="26" t="n"/>
      <c r="G12" s="27">
        <f>IF(F12="",0,F12-F11)</f>
        <v/>
      </c>
      <c r="I12" s="8" t="n"/>
      <c r="J12" s="26" t="n"/>
      <c r="K12" s="27">
        <f>IF(J12="",0,J12-J11)</f>
        <v/>
      </c>
      <c r="M12" t="n">
        <v>78</v>
      </c>
      <c r="N12" s="27" t="n">
        <v>0.0636</v>
      </c>
    </row>
    <row r="13">
      <c r="A13" t="inlineStr">
        <is>
          <t>FED_PENSION_AMOUNT</t>
        </is>
      </c>
      <c r="B13" s="19" t="n">
        <v>2000</v>
      </c>
      <c r="C13" t="inlineStr">
        <is>
          <t>Pension income amount (not indexed)</t>
        </is>
      </c>
      <c r="E13" s="8" t="n"/>
      <c r="F13" s="26" t="n"/>
      <c r="G13" s="27">
        <f>IF(F13="",0,F13-F12)</f>
        <v/>
      </c>
      <c r="I13" s="8" t="n"/>
      <c r="J13" s="26" t="n"/>
      <c r="K13" s="27">
        <f>IF(J13="",0,J13-J12)</f>
        <v/>
      </c>
      <c r="M13" t="n">
        <v>79</v>
      </c>
      <c r="N13" s="27" t="n">
        <v>0.0658</v>
      </c>
    </row>
    <row r="14">
      <c r="A14" t="inlineStr">
        <is>
          <t>FED_EMPLOYMENT_AMOUNT</t>
        </is>
      </c>
      <c r="B14" s="19" t="n">
        <v>1501</v>
      </c>
      <c r="C14" t="inlineStr">
        <is>
          <t>Canada employment amount</t>
        </is>
      </c>
      <c r="E14" s="8" t="n"/>
      <c r="F14" s="26" t="n"/>
      <c r="G14" s="27">
        <f>IF(F14="",0,F14-F13)</f>
        <v/>
      </c>
      <c r="I14" s="8" t="n"/>
      <c r="J14" s="26" t="n"/>
      <c r="K14" s="27">
        <f>IF(J14="",0,J14-J13)</f>
        <v/>
      </c>
      <c r="M14" t="n">
        <v>80</v>
      </c>
      <c r="N14" s="27" t="n">
        <v>0.0682</v>
      </c>
    </row>
    <row r="15">
      <c r="A15" t="inlineStr">
        <is>
          <t>FED_MEDICAL_THRESHOLD</t>
        </is>
      </c>
      <c r="B15" s="19" t="n">
        <v>2891</v>
      </c>
      <c r="C15" t="inlineStr">
        <is>
          <t>Medical expenses above the lesser of 3% of net income and this</t>
        </is>
      </c>
      <c r="E15" s="8" t="n"/>
      <c r="F15" s="26" t="n"/>
      <c r="G15" s="27">
        <f>IF(F15="",0,F15-F14)</f>
        <v/>
      </c>
      <c r="I15" s="8" t="n"/>
      <c r="J15" s="26" t="n"/>
      <c r="K15" s="27">
        <f>IF(J15="",0,J15-J14)</f>
        <v/>
      </c>
      <c r="M15" t="n">
        <v>81</v>
      </c>
      <c r="N15" s="27" t="n">
        <v>0.0708</v>
      </c>
    </row>
    <row r="16">
      <c r="A16" t="inlineStr">
        <is>
          <t>FED_ELIGIBLE_DTC</t>
        </is>
      </c>
      <c r="B16" s="10" t="n">
        <v>0.150198</v>
      </c>
      <c r="C16" t="inlineStr">
        <is>
          <t>Federal dividend tax credit, eligible dividends (share of grossed-up amount)</t>
        </is>
      </c>
      <c r="E16" s="8" t="n"/>
      <c r="F16" s="26" t="n"/>
      <c r="G16" s="27">
        <f>IF(F16="",0,F16-F15)</f>
        <v/>
      </c>
      <c r="I16" s="8" t="n"/>
      <c r="J16" s="26" t="n"/>
      <c r="K16" s="27">
        <f>IF(J16="",0,J16-J15)</f>
        <v/>
      </c>
      <c r="M16" t="n">
        <v>82</v>
      </c>
      <c r="N16" s="27" t="n">
        <v>0.0738</v>
      </c>
    </row>
    <row r="17">
      <c r="A17" t="inlineStr">
        <is>
          <t>ELIGIBLE_GROSSUP</t>
        </is>
      </c>
      <c r="B17" s="10" t="n">
        <v>0.38</v>
      </c>
      <c r="C17" t="inlineStr">
        <is>
          <t>Eligible dividend gross-up</t>
        </is>
      </c>
      <c r="M17" t="n">
        <v>83</v>
      </c>
      <c r="N17" s="27" t="n">
        <v>0.0771</v>
      </c>
    </row>
    <row r="18">
      <c r="A18" t="inlineStr">
        <is>
          <t>CG_INCLUSION</t>
        </is>
      </c>
      <c r="B18" s="10" t="n">
        <v>0.5</v>
      </c>
      <c r="C18" t="inlineStr">
        <is>
          <t>Share of capital gains that is taxable</t>
        </is>
      </c>
      <c r="M18" t="n">
        <v>84</v>
      </c>
      <c r="N18" s="27" t="n">
        <v>0.0808</v>
      </c>
    </row>
    <row r="19">
      <c r="A19" t="inlineStr">
        <is>
          <t>OAS_MONTHLY</t>
        </is>
      </c>
      <c r="B19" s="19" t="n">
        <v>742.3099999999999</v>
      </c>
      <c r="C19" t="inlineStr">
        <is>
          <t>Full OAS pension at 65-74, per month (Jan 2026)</t>
        </is>
      </c>
      <c r="M19" t="n">
        <v>85</v>
      </c>
      <c r="N19" s="27" t="n">
        <v>0.0851</v>
      </c>
    </row>
    <row r="20">
      <c r="A20" t="inlineStr">
        <is>
          <t>OAS_75_BOOST</t>
        </is>
      </c>
      <c r="B20" s="10" t="n">
        <v>0.1</v>
      </c>
      <c r="C20" t="inlineStr">
        <is>
          <t>OAS increase from age 75</t>
        </is>
      </c>
      <c r="M20" t="n">
        <v>86</v>
      </c>
      <c r="N20" s="27" t="n">
        <v>0.08989999999999999</v>
      </c>
    </row>
    <row r="21">
      <c r="A21" t="inlineStr">
        <is>
          <t>OAS_CLAWBACK_THRESHOLD</t>
        </is>
      </c>
      <c r="B21" s="19" t="n">
        <v>95323</v>
      </c>
      <c r="C21" t="inlineStr">
        <is>
          <t>OAS recovery tax starts at this net income</t>
        </is>
      </c>
      <c r="M21" t="n">
        <v>87</v>
      </c>
      <c r="N21" s="27" t="n">
        <v>0.0955</v>
      </c>
    </row>
    <row r="22">
      <c r="A22" t="inlineStr">
        <is>
          <t>OAS_CLAWBACK_RATE</t>
        </is>
      </c>
      <c r="B22" s="10" t="n">
        <v>0.15</v>
      </c>
      <c r="C22" t="inlineStr"/>
      <c r="M22" t="n">
        <v>88</v>
      </c>
      <c r="N22" s="27" t="n">
        <v>0.1021</v>
      </c>
    </row>
    <row r="23">
      <c r="A23" t="inlineStr">
        <is>
          <t>CPP_MAX_MONTHLY</t>
        </is>
      </c>
      <c r="B23" s="19" t="n">
        <v>1507.65</v>
      </c>
      <c r="C23" t="inlineStr">
        <is>
          <t>Maximum CPP retirement pension at 65 (2026); caps survivor + own pension</t>
        </is>
      </c>
      <c r="M23" t="n">
        <v>89</v>
      </c>
      <c r="N23" s="27" t="n">
        <v>0.1099</v>
      </c>
    </row>
    <row r="24">
      <c r="A24" t="inlineStr">
        <is>
          <t>CPP_SURVIVOR_SHARE</t>
        </is>
      </c>
      <c r="B24" s="10" t="n">
        <v>0.6</v>
      </c>
      <c r="C24" t="inlineStr">
        <is>
          <t>Survivor pension (65+) as a share of the deceased's pension</t>
        </is>
      </c>
      <c r="M24" t="n">
        <v>90</v>
      </c>
      <c r="N24" s="27" t="n">
        <v>0.1192</v>
      </c>
    </row>
    <row r="25">
      <c r="A25" t="inlineStr">
        <is>
          <t>CPP_RATE</t>
        </is>
      </c>
      <c r="B25" s="26" t="n">
        <v>0.0595</v>
      </c>
      <c r="C25" t="inlineStr">
        <is>
          <t>Employee CPP contribution rate (base + first additional)</t>
        </is>
      </c>
      <c r="M25" t="n">
        <v>91</v>
      </c>
      <c r="N25" s="27" t="n">
        <v>0.1306</v>
      </c>
    </row>
    <row r="26">
      <c r="A26" t="inlineStr">
        <is>
          <t>CPP_EXEMPTION</t>
        </is>
      </c>
      <c r="B26" s="19" t="n">
        <v>3500</v>
      </c>
      <c r="C26" t="inlineStr">
        <is>
          <t>Basic exemption (not indexed)</t>
        </is>
      </c>
      <c r="M26" t="n">
        <v>92</v>
      </c>
      <c r="N26" s="27" t="n">
        <v>0.1449</v>
      </c>
    </row>
    <row r="27">
      <c r="A27" t="inlineStr">
        <is>
          <t>YMPE</t>
        </is>
      </c>
      <c r="B27" s="19" t="n">
        <v>74600</v>
      </c>
      <c r="C27" t="inlineStr">
        <is>
          <t>Year's maximum pensionable earnings</t>
        </is>
      </c>
      <c r="M27" t="n">
        <v>93</v>
      </c>
      <c r="N27" s="27" t="n">
        <v>0.1634</v>
      </c>
    </row>
    <row r="28">
      <c r="A28" t="inlineStr">
        <is>
          <t>CPP2_RATE</t>
        </is>
      </c>
      <c r="B28" s="26" t="n">
        <v>0.04</v>
      </c>
      <c r="C28" t="inlineStr">
        <is>
          <t>Second additional CPP rate</t>
        </is>
      </c>
      <c r="M28" t="n">
        <v>94</v>
      </c>
      <c r="N28" s="27" t="n">
        <v>0.1879</v>
      </c>
    </row>
    <row r="29">
      <c r="A29" t="inlineStr">
        <is>
          <t>YAMPE</t>
        </is>
      </c>
      <c r="B29" s="19" t="n">
        <v>85000</v>
      </c>
      <c r="C29" t="inlineStr">
        <is>
          <t>Year's additional maximum pensionable earnings</t>
        </is>
      </c>
      <c r="M29" t="n">
        <v>95</v>
      </c>
      <c r="N29" s="27" t="n">
        <v>0.2</v>
      </c>
    </row>
    <row r="30">
      <c r="A30" t="inlineStr">
        <is>
          <t>EI_RATE</t>
        </is>
      </c>
      <c r="B30" s="26" t="n">
        <v>0.0163</v>
      </c>
      <c r="C30" t="inlineStr">
        <is>
          <t>Employee EI premium rate</t>
        </is>
      </c>
      <c r="M30" t="n">
        <v>96</v>
      </c>
      <c r="N30" s="27" t="n">
        <v>0.2</v>
      </c>
    </row>
    <row r="31">
      <c r="A31" t="inlineStr">
        <is>
          <t>EI_MAX_INSURABLE</t>
        </is>
      </c>
      <c r="B31" s="19" t="n">
        <v>68900</v>
      </c>
      <c r="C31" t="inlineStr"/>
      <c r="M31" t="n">
        <v>97</v>
      </c>
      <c r="N31" s="27" t="n">
        <v>0.2</v>
      </c>
    </row>
    <row r="32">
      <c r="A32" t="inlineStr">
        <is>
          <t>TFSA_LIMIT</t>
        </is>
      </c>
      <c r="B32" s="19" t="n">
        <v>7000</v>
      </c>
      <c r="C32" t="inlineStr">
        <is>
          <t>New TFSA room per person per year</t>
        </is>
      </c>
      <c r="M32" t="n">
        <v>98</v>
      </c>
      <c r="N32" s="27" t="n">
        <v>0.2</v>
      </c>
    </row>
    <row r="33">
      <c r="A33" t="inlineStr">
        <is>
          <t>PROV_NAME</t>
        </is>
      </c>
      <c r="B33" s="19" t="inlineStr">
        <is>
          <t>British Columbia</t>
        </is>
      </c>
      <c r="C33" t="inlineStr">
        <is>
          <t>Province used for provincial tax (edit the brackets and amounts to change it)</t>
        </is>
      </c>
      <c r="M33" t="n">
        <v>99</v>
      </c>
      <c r="N33" s="27" t="n">
        <v>0.2</v>
      </c>
    </row>
    <row r="34">
      <c r="A34" t="inlineStr">
        <is>
          <t>PROV_CREDIT_RATE</t>
        </is>
      </c>
      <c r="B34" s="26" t="n">
        <v>0.056</v>
      </c>
      <c r="C34" t="inlineStr">
        <is>
          <t>Provincial credits are worth this rate (BC lowest rate, 5.6% from 2026)</t>
        </is>
      </c>
      <c r="M34" t="n">
        <v>100</v>
      </c>
      <c r="N34" s="27" t="n">
        <v>0.2</v>
      </c>
    </row>
    <row r="35">
      <c r="A35" t="inlineStr">
        <is>
          <t>PROV_BPA</t>
        </is>
      </c>
      <c r="B35" s="19" t="n">
        <v>13216</v>
      </c>
      <c r="C35" t="inlineStr">
        <is>
          <t>Provincial basic personal amount</t>
        </is>
      </c>
      <c r="M35" t="n">
        <v>101</v>
      </c>
      <c r="N35" s="27" t="n">
        <v>0.2</v>
      </c>
    </row>
    <row r="36">
      <c r="A36" t="inlineStr">
        <is>
          <t>PROV_AGE_AMOUNT</t>
        </is>
      </c>
      <c r="B36" s="19" t="n">
        <v>5927</v>
      </c>
      <c r="C36" t="inlineStr">
        <is>
          <t>Provincial age amount (65+)</t>
        </is>
      </c>
      <c r="M36" t="n">
        <v>102</v>
      </c>
      <c r="N36" s="27" t="n">
        <v>0.2</v>
      </c>
    </row>
    <row r="37">
      <c r="A37" t="inlineStr">
        <is>
          <t>PROV_AGE_THRESHOLD</t>
        </is>
      </c>
      <c r="B37" s="19" t="n">
        <v>44119</v>
      </c>
      <c r="C37" t="inlineStr">
        <is>
          <t>... reduced by 15% of net income above this</t>
        </is>
      </c>
      <c r="M37" t="n">
        <v>103</v>
      </c>
      <c r="N37" s="27" t="n">
        <v>0.2</v>
      </c>
    </row>
    <row r="38">
      <c r="A38" t="inlineStr">
        <is>
          <t>PROV_PENSION_AMOUNT</t>
        </is>
      </c>
      <c r="B38" s="19" t="n">
        <v>1000</v>
      </c>
      <c r="C38" t="inlineStr">
        <is>
          <t>Provincial pension income amount (not indexed)</t>
        </is>
      </c>
      <c r="M38" t="n">
        <v>104</v>
      </c>
      <c r="N38" s="27" t="n">
        <v>0.2</v>
      </c>
    </row>
    <row r="39">
      <c r="A39" t="inlineStr">
        <is>
          <t>PROV_MEDICAL_THRESHOLD</t>
        </is>
      </c>
      <c r="B39" s="19" t="n">
        <v>2748</v>
      </c>
      <c r="C39" t="inlineStr">
        <is>
          <t>Provincial medical expense threshold</t>
        </is>
      </c>
      <c r="M39" t="n">
        <v>105</v>
      </c>
      <c r="N39" s="27" t="n">
        <v>0.2</v>
      </c>
    </row>
    <row r="40">
      <c r="A40" t="inlineStr">
        <is>
          <t>PROV_ELIGIBLE_DTC</t>
        </is>
      </c>
      <c r="B40" s="10" t="n">
        <v>0.12</v>
      </c>
      <c r="C40" t="inlineStr">
        <is>
          <t>Provincial dividend tax credit, eligible dividends</t>
        </is>
      </c>
      <c r="M40" t="n">
        <v>106</v>
      </c>
      <c r="N40" s="27" t="n">
        <v>0.2</v>
      </c>
    </row>
    <row r="41">
      <c r="A41" t="inlineStr">
        <is>
          <t>PROV_REDUCTION_MAX</t>
        </is>
      </c>
      <c r="B41" s="19" t="n">
        <v>690</v>
      </c>
      <c r="C41" t="inlineStr">
        <is>
          <t>BC tax reduction (low income)</t>
        </is>
      </c>
      <c r="M41" t="n">
        <v>107</v>
      </c>
      <c r="N41" s="27" t="n">
        <v>0.2</v>
      </c>
    </row>
    <row r="42">
      <c r="A42" t="inlineStr">
        <is>
          <t>PROV_REDUCTION_THRESHOLD</t>
        </is>
      </c>
      <c r="B42" s="19" t="n">
        <v>25570</v>
      </c>
      <c r="C42" t="inlineStr">
        <is>
          <t>... reduced by the rate below above this net income</t>
        </is>
      </c>
      <c r="M42" t="n">
        <v>108</v>
      </c>
      <c r="N42" s="27" t="n">
        <v>0.2</v>
      </c>
    </row>
    <row r="43">
      <c r="A43" t="inlineStr">
        <is>
          <t>PROV_REDUCTION_RATE</t>
        </is>
      </c>
      <c r="B43" s="26" t="n">
        <v>0.0356</v>
      </c>
      <c r="C43" t="inlineStr"/>
      <c r="M43" t="n">
        <v>109</v>
      </c>
      <c r="N43" s="27" t="n">
        <v>0.2</v>
      </c>
    </row>
    <row r="44">
      <c r="A44" t="inlineStr">
        <is>
          <t>PROV_INDEX_PAUSE_FROM</t>
        </is>
      </c>
      <c r="B44" s="19" t="n">
        <v>2027</v>
      </c>
      <c r="C44" t="inlineStr">
        <is>
          <t>BC isn't indexing its brackets and amounts from this year ...</t>
        </is>
      </c>
      <c r="M44" t="n">
        <v>110</v>
      </c>
      <c r="N44" s="27" t="n">
        <v>0.2</v>
      </c>
    </row>
    <row r="45">
      <c r="A45" t="inlineStr">
        <is>
          <t>PROV_INDEX_PAUSE_TO</t>
        </is>
      </c>
      <c r="B45" s="19" t="n">
        <v>2030</v>
      </c>
      <c r="C45" t="inlineStr">
        <is>
          <t>... through this year (BC Budget 2026); indexing resumes after</t>
        </is>
      </c>
      <c r="M45" t="n">
        <v>111</v>
      </c>
      <c r="N45" s="27" t="n">
        <v>0.2</v>
      </c>
    </row>
    <row r="46">
      <c r="A46" t="inlineStr">
        <is>
          <t>RRIF_START_AGE</t>
        </is>
      </c>
      <c r="B46" s="19" t="n">
        <v>72</v>
      </c>
      <c r="C46" t="inlineStr">
        <is>
          <t>Minimum RRIF withdrawals start the year you turn this (RRSP must convert by the end of 71)</t>
        </is>
      </c>
      <c r="M46" t="n">
        <v>112</v>
      </c>
      <c r="N46" s="27" t="n">
        <v>0.2</v>
      </c>
    </row>
    <row r="47">
      <c r="M47" t="n">
        <v>113</v>
      </c>
      <c r="N47" s="27" t="n">
        <v>0.2</v>
      </c>
    </row>
    <row r="48">
      <c r="M48" t="n">
        <v>114</v>
      </c>
      <c r="N48" s="27" t="n">
        <v>0.2</v>
      </c>
    </row>
    <row r="49">
      <c r="M49" t="n">
        <v>115</v>
      </c>
      <c r="N49" s="27" t="n">
        <v>0.2</v>
      </c>
    </row>
    <row r="50">
      <c r="M50" t="n">
        <v>116</v>
      </c>
      <c r="N50" s="27" t="n">
        <v>0.2</v>
      </c>
    </row>
    <row r="51">
      <c r="M51" t="n">
        <v>117</v>
      </c>
      <c r="N51" s="27" t="n">
        <v>0.2</v>
      </c>
    </row>
    <row r="52">
      <c r="M52" t="n">
        <v>118</v>
      </c>
      <c r="N52" s="27" t="n">
        <v>0.2</v>
      </c>
    </row>
    <row r="53">
      <c r="M53" t="n">
        <v>119</v>
      </c>
      <c r="N53" s="27" t="n">
        <v>0.2</v>
      </c>
    </row>
    <row r="54">
      <c r="M54" t="n">
        <v>120</v>
      </c>
      <c r="N54" s="27" t="n">
        <v>0.2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sheetData>
    <row r="1">
      <c r="A1" s="18" t="inlineStr">
        <is>
          <t>year</t>
        </is>
      </c>
      <c r="B1" s="18" t="inlineStr">
        <is>
          <t>stocks</t>
        </is>
      </c>
      <c r="C1" s="18" t="inlineStr">
        <is>
          <t>bonds</t>
        </is>
      </c>
      <c r="D1" s="18" t="inlineStr">
        <is>
          <t>bills</t>
        </is>
      </c>
      <c r="E1" s="18" t="inlineStr">
        <is>
          <t>inflation</t>
        </is>
      </c>
      <c r="G1" t="inlineStr">
        <is>
          <t>US history: S&amp;P 500 total return, 10-year Treasury, 3-month T-bill, CPI inflation. Source: Aswath Damodaran, NYU Stern (histretSP.xls, January 2026). Add a row each January, or replace the columns with another country's series (keep the headers).</t>
        </is>
      </c>
    </row>
    <row r="2">
      <c r="A2" t="n">
        <v>1928</v>
      </c>
      <c r="B2" s="22" t="n">
        <v>0.438112</v>
      </c>
      <c r="C2" s="22" t="n">
        <v>0.008355</v>
      </c>
      <c r="D2" s="22" t="n">
        <v>0.0308</v>
      </c>
      <c r="E2" s="22" t="n">
        <v>-0.011561</v>
      </c>
    </row>
    <row r="3">
      <c r="A3" t="n">
        <v>1929</v>
      </c>
      <c r="B3" s="22" t="n">
        <v>-0.082979</v>
      </c>
      <c r="C3" s="22" t="n">
        <v>0.042038</v>
      </c>
      <c r="D3" s="22" t="n">
        <v>0.0316</v>
      </c>
      <c r="E3" s="22" t="n">
        <v>0.005848</v>
      </c>
    </row>
    <row r="4">
      <c r="A4" t="n">
        <v>1930</v>
      </c>
      <c r="B4" s="22" t="n">
        <v>-0.251236</v>
      </c>
      <c r="C4" s="22" t="n">
        <v>0.045409</v>
      </c>
      <c r="D4" s="22" t="n">
        <v>0.0455</v>
      </c>
      <c r="E4" s="22" t="n">
        <v>-0.063953</v>
      </c>
    </row>
    <row r="5">
      <c r="A5" t="n">
        <v>1931</v>
      </c>
      <c r="B5" s="22" t="n">
        <v>-0.438375</v>
      </c>
      <c r="C5" s="22" t="n">
        <v>-0.025589</v>
      </c>
      <c r="D5" s="22" t="n">
        <v>0.0231</v>
      </c>
      <c r="E5" s="22" t="n">
        <v>-0.093168</v>
      </c>
    </row>
    <row r="6">
      <c r="A6" t="n">
        <v>1932</v>
      </c>
      <c r="B6" s="22" t="n">
        <v>-0.086424</v>
      </c>
      <c r="C6" s="22" t="n">
        <v>0.087903</v>
      </c>
      <c r="D6" s="22" t="n">
        <v>0.0107</v>
      </c>
      <c r="E6" s="22" t="n">
        <v>-0.10274</v>
      </c>
    </row>
    <row r="7">
      <c r="A7" t="n">
        <v>1933</v>
      </c>
      <c r="B7" s="22" t="n">
        <v>0.499822</v>
      </c>
      <c r="C7" s="22" t="n">
        <v>0.018553</v>
      </c>
      <c r="D7" s="22" t="n">
        <v>0.009599999999999999</v>
      </c>
      <c r="E7" s="22" t="n">
        <v>0.007634</v>
      </c>
    </row>
    <row r="8">
      <c r="A8" t="n">
        <v>1934</v>
      </c>
      <c r="B8" s="22" t="n">
        <v>-0.011886</v>
      </c>
      <c r="C8" s="22" t="n">
        <v>0.079634</v>
      </c>
      <c r="D8" s="22" t="n">
        <v>0.002783</v>
      </c>
      <c r="E8" s="22" t="n">
        <v>0.015152</v>
      </c>
    </row>
    <row r="9">
      <c r="A9" t="n">
        <v>1935</v>
      </c>
      <c r="B9" s="22" t="n">
        <v>0.467404</v>
      </c>
      <c r="C9" s="22" t="n">
        <v>0.04472</v>
      </c>
      <c r="D9" s="22" t="n">
        <v>0.001675</v>
      </c>
      <c r="E9" s="22" t="n">
        <v>0.029851</v>
      </c>
    </row>
    <row r="10">
      <c r="A10" t="n">
        <v>1936</v>
      </c>
      <c r="B10" s="22" t="n">
        <v>0.319434</v>
      </c>
      <c r="C10" s="22" t="n">
        <v>0.050179</v>
      </c>
      <c r="D10" s="22" t="n">
        <v>0.001725</v>
      </c>
      <c r="E10" s="22" t="n">
        <v>0.014493</v>
      </c>
    </row>
    <row r="11">
      <c r="A11" t="n">
        <v>1937</v>
      </c>
      <c r="B11" s="22" t="n">
        <v>-0.353367</v>
      </c>
      <c r="C11" s="22" t="n">
        <v>0.013791</v>
      </c>
      <c r="D11" s="22" t="n">
        <v>0.002758</v>
      </c>
      <c r="E11" s="22" t="n">
        <v>0.028571</v>
      </c>
    </row>
    <row r="12">
      <c r="A12" t="n">
        <v>1938</v>
      </c>
      <c r="B12" s="22" t="n">
        <v>0.292827</v>
      </c>
      <c r="C12" s="22" t="n">
        <v>0.042132</v>
      </c>
      <c r="D12" s="22" t="n">
        <v>0.00065</v>
      </c>
      <c r="E12" s="22" t="n">
        <v>-0.027778</v>
      </c>
    </row>
    <row r="13">
      <c r="A13" t="n">
        <v>1939</v>
      </c>
      <c r="B13" s="22" t="n">
        <v>-0.010976</v>
      </c>
      <c r="C13" s="22" t="n">
        <v>0.044123</v>
      </c>
      <c r="D13" s="22" t="n">
        <v>0.000458</v>
      </c>
      <c r="E13" s="22" t="n">
        <v>0</v>
      </c>
    </row>
    <row r="14">
      <c r="A14" t="n">
        <v>1940</v>
      </c>
      <c r="B14" s="22" t="n">
        <v>-0.106729</v>
      </c>
      <c r="C14" s="22" t="n">
        <v>0.054025</v>
      </c>
      <c r="D14" s="22" t="n">
        <v>0.000358</v>
      </c>
      <c r="E14" s="22" t="n">
        <v>0.007143</v>
      </c>
    </row>
    <row r="15">
      <c r="A15" t="n">
        <v>1941</v>
      </c>
      <c r="B15" s="22" t="n">
        <v>-0.127715</v>
      </c>
      <c r="C15" s="22" t="n">
        <v>-0.020222</v>
      </c>
      <c r="D15" s="22" t="n">
        <v>0.001292</v>
      </c>
      <c r="E15" s="22" t="n">
        <v>0.099291</v>
      </c>
    </row>
    <row r="16">
      <c r="A16" t="n">
        <v>1942</v>
      </c>
      <c r="B16" s="22" t="n">
        <v>0.191738</v>
      </c>
      <c r="C16" s="22" t="n">
        <v>0.022949</v>
      </c>
      <c r="D16" s="22" t="n">
        <v>0.003425</v>
      </c>
      <c r="E16" s="22" t="n">
        <v>0.090323</v>
      </c>
    </row>
    <row r="17">
      <c r="A17" t="n">
        <v>1943</v>
      </c>
      <c r="B17" s="22" t="n">
        <v>0.250613</v>
      </c>
      <c r="C17" s="22" t="n">
        <v>0.0249</v>
      </c>
      <c r="D17" s="22" t="n">
        <v>0.0038</v>
      </c>
      <c r="E17" s="22" t="n">
        <v>0.029586</v>
      </c>
    </row>
    <row r="18">
      <c r="A18" t="n">
        <v>1944</v>
      </c>
      <c r="B18" s="22" t="n">
        <v>0.190307</v>
      </c>
      <c r="C18" s="22" t="n">
        <v>0.025776</v>
      </c>
      <c r="D18" s="22" t="n">
        <v>0.0038</v>
      </c>
      <c r="E18" s="22" t="n">
        <v>0.022988</v>
      </c>
    </row>
    <row r="19">
      <c r="A19" t="n">
        <v>1945</v>
      </c>
      <c r="B19" s="22" t="n">
        <v>0.358211</v>
      </c>
      <c r="C19" s="22" t="n">
        <v>0.038044</v>
      </c>
      <c r="D19" s="22" t="n">
        <v>0.0038</v>
      </c>
      <c r="E19" s="22" t="n">
        <v>0.022472</v>
      </c>
    </row>
    <row r="20">
      <c r="A20" t="n">
        <v>1946</v>
      </c>
      <c r="B20" s="22" t="n">
        <v>-0.084291</v>
      </c>
      <c r="C20" s="22" t="n">
        <v>0.031284</v>
      </c>
      <c r="D20" s="22" t="n">
        <v>0.0038</v>
      </c>
      <c r="E20" s="22" t="n">
        <v>0.181319</v>
      </c>
    </row>
    <row r="21">
      <c r="A21" t="n">
        <v>1947</v>
      </c>
      <c r="B21" s="22" t="n">
        <v>0.052</v>
      </c>
      <c r="C21" s="22" t="n">
        <v>0.009197</v>
      </c>
      <c r="D21" s="22" t="n">
        <v>0.006008</v>
      </c>
      <c r="E21" s="22" t="n">
        <v>0.08837200000000001</v>
      </c>
    </row>
    <row r="22">
      <c r="A22" t="n">
        <v>1948</v>
      </c>
      <c r="B22" s="22" t="n">
        <v>0.057046</v>
      </c>
      <c r="C22" s="22" t="n">
        <v>0.01951</v>
      </c>
      <c r="D22" s="22" t="n">
        <v>0.01045</v>
      </c>
      <c r="E22" s="22" t="n">
        <v>0.029915</v>
      </c>
    </row>
    <row r="23">
      <c r="A23" t="n">
        <v>1949</v>
      </c>
      <c r="B23" s="22" t="n">
        <v>0.183032</v>
      </c>
      <c r="C23" s="22" t="n">
        <v>0.046635</v>
      </c>
      <c r="D23" s="22" t="n">
        <v>0.01115</v>
      </c>
      <c r="E23" s="22" t="n">
        <v>-0.020747</v>
      </c>
    </row>
    <row r="24">
      <c r="A24" t="n">
        <v>1950</v>
      </c>
      <c r="B24" s="22" t="n">
        <v>0.308055</v>
      </c>
      <c r="C24" s="22" t="n">
        <v>0.004296</v>
      </c>
      <c r="D24" s="22" t="n">
        <v>0.012033</v>
      </c>
      <c r="E24" s="22" t="n">
        <v>0.059322</v>
      </c>
    </row>
    <row r="25">
      <c r="A25" t="n">
        <v>1951</v>
      </c>
      <c r="B25" s="22" t="n">
        <v>0.236785</v>
      </c>
      <c r="C25" s="22" t="n">
        <v>-0.002953</v>
      </c>
      <c r="D25" s="22" t="n">
        <v>0.015175</v>
      </c>
      <c r="E25" s="22" t="n">
        <v>0.06</v>
      </c>
    </row>
    <row r="26">
      <c r="A26" t="n">
        <v>1952</v>
      </c>
      <c r="B26" s="22" t="n">
        <v>0.18151</v>
      </c>
      <c r="C26" s="22" t="n">
        <v>0.02268</v>
      </c>
      <c r="D26" s="22" t="n">
        <v>0.017225</v>
      </c>
      <c r="E26" s="22" t="n">
        <v>0.007547</v>
      </c>
    </row>
    <row r="27">
      <c r="A27" t="n">
        <v>1953</v>
      </c>
      <c r="B27" s="22" t="n">
        <v>-0.012082</v>
      </c>
      <c r="C27" s="22" t="n">
        <v>0.041438</v>
      </c>
      <c r="D27" s="22" t="n">
        <v>0.018908</v>
      </c>
      <c r="E27" s="22" t="n">
        <v>0.007491</v>
      </c>
    </row>
    <row r="28">
      <c r="A28" t="n">
        <v>1954</v>
      </c>
      <c r="B28" s="22" t="n">
        <v>0.525633</v>
      </c>
      <c r="C28" s="22" t="n">
        <v>0.032898</v>
      </c>
      <c r="D28" s="22" t="n">
        <v>0.009375</v>
      </c>
      <c r="E28" s="22" t="n">
        <v>-0.007435</v>
      </c>
    </row>
    <row r="29">
      <c r="A29" t="n">
        <v>1955</v>
      </c>
      <c r="B29" s="22" t="n">
        <v>0.325973</v>
      </c>
      <c r="C29" s="22" t="n">
        <v>-0.013364</v>
      </c>
      <c r="D29" s="22" t="n">
        <v>0.017243</v>
      </c>
      <c r="E29" s="22" t="n">
        <v>0.003745</v>
      </c>
    </row>
    <row r="30">
      <c r="A30" t="n">
        <v>1956</v>
      </c>
      <c r="B30" s="22" t="n">
        <v>0.074395</v>
      </c>
      <c r="C30" s="22" t="n">
        <v>-0.022558</v>
      </c>
      <c r="D30" s="22" t="n">
        <v>0.026214</v>
      </c>
      <c r="E30" s="22" t="n">
        <v>0.029851</v>
      </c>
    </row>
    <row r="31">
      <c r="A31" t="n">
        <v>1957</v>
      </c>
      <c r="B31" s="22" t="n">
        <v>-0.104574</v>
      </c>
      <c r="C31" s="22" t="n">
        <v>0.06797</v>
      </c>
      <c r="D31" s="22" t="n">
        <v>0.032246</v>
      </c>
      <c r="E31" s="22" t="n">
        <v>0.028986</v>
      </c>
    </row>
    <row r="32">
      <c r="A32" t="n">
        <v>1958</v>
      </c>
      <c r="B32" s="22" t="n">
        <v>0.4372</v>
      </c>
      <c r="C32" s="22" t="n">
        <v>-0.02099</v>
      </c>
      <c r="D32" s="22" t="n">
        <v>0.017665</v>
      </c>
      <c r="E32" s="22" t="n">
        <v>0.017606</v>
      </c>
    </row>
    <row r="33">
      <c r="A33" t="n">
        <v>1959</v>
      </c>
      <c r="B33" s="22" t="n">
        <v>0.120565</v>
      </c>
      <c r="C33" s="22" t="n">
        <v>-0.026466</v>
      </c>
      <c r="D33" s="22" t="n">
        <v>0.03386</v>
      </c>
      <c r="E33" s="22" t="n">
        <v>0.017301</v>
      </c>
    </row>
    <row r="34">
      <c r="A34" t="n">
        <v>1960</v>
      </c>
      <c r="B34" s="22" t="n">
        <v>0.003365</v>
      </c>
      <c r="C34" s="22" t="n">
        <v>0.116395</v>
      </c>
      <c r="D34" s="22" t="n">
        <v>0.02873</v>
      </c>
      <c r="E34" s="22" t="n">
        <v>0.013605</v>
      </c>
    </row>
    <row r="35">
      <c r="A35" t="n">
        <v>1961</v>
      </c>
      <c r="B35" s="22" t="n">
        <v>0.266377</v>
      </c>
      <c r="C35" s="22" t="n">
        <v>0.020609</v>
      </c>
      <c r="D35" s="22" t="n">
        <v>0.023525</v>
      </c>
      <c r="E35" s="22" t="n">
        <v>0.006711</v>
      </c>
    </row>
    <row r="36">
      <c r="A36" t="n">
        <v>1962</v>
      </c>
      <c r="B36" s="22" t="n">
        <v>-0.088115</v>
      </c>
      <c r="C36" s="22" t="n">
        <v>0.056935</v>
      </c>
      <c r="D36" s="22" t="n">
        <v>0.027724</v>
      </c>
      <c r="E36" s="22" t="n">
        <v>0.013333</v>
      </c>
    </row>
    <row r="37">
      <c r="A37" t="n">
        <v>1963</v>
      </c>
      <c r="B37" s="22" t="n">
        <v>0.226119</v>
      </c>
      <c r="C37" s="22" t="n">
        <v>0.016842</v>
      </c>
      <c r="D37" s="22" t="n">
        <v>0.03156</v>
      </c>
      <c r="E37" s="22" t="n">
        <v>0.016447</v>
      </c>
    </row>
    <row r="38">
      <c r="A38" t="n">
        <v>1964</v>
      </c>
      <c r="B38" s="22" t="n">
        <v>0.164155</v>
      </c>
      <c r="C38" s="22" t="n">
        <v>0.037281</v>
      </c>
      <c r="D38" s="22" t="n">
        <v>0.035457</v>
      </c>
      <c r="E38" s="22" t="n">
        <v>0.009709000000000001</v>
      </c>
    </row>
    <row r="39">
      <c r="A39" t="n">
        <v>1965</v>
      </c>
      <c r="B39" s="22" t="n">
        <v>0.123992</v>
      </c>
      <c r="C39" s="22" t="n">
        <v>0.007189</v>
      </c>
      <c r="D39" s="22" t="n">
        <v>0.039491</v>
      </c>
      <c r="E39" s="22" t="n">
        <v>0.019231</v>
      </c>
    </row>
    <row r="40">
      <c r="A40" t="n">
        <v>1966</v>
      </c>
      <c r="B40" s="22" t="n">
        <v>-0.09970999999999999</v>
      </c>
      <c r="C40" s="22" t="n">
        <v>0.029079</v>
      </c>
      <c r="D40" s="22" t="n">
        <v>0.048557</v>
      </c>
      <c r="E40" s="22" t="n">
        <v>0.034591</v>
      </c>
    </row>
    <row r="41">
      <c r="A41" t="n">
        <v>1967</v>
      </c>
      <c r="B41" s="22" t="n">
        <v>0.23803</v>
      </c>
      <c r="C41" s="22" t="n">
        <v>-0.015806</v>
      </c>
      <c r="D41" s="22" t="n">
        <v>0.042935</v>
      </c>
      <c r="E41" s="22" t="n">
        <v>0.030395</v>
      </c>
    </row>
    <row r="42">
      <c r="A42" t="n">
        <v>1968</v>
      </c>
      <c r="B42" s="22" t="n">
        <v>0.108149</v>
      </c>
      <c r="C42" s="22" t="n">
        <v>0.032746</v>
      </c>
      <c r="D42" s="22" t="n">
        <v>0.053376</v>
      </c>
      <c r="E42" s="22" t="n">
        <v>0.047198</v>
      </c>
    </row>
    <row r="43">
      <c r="A43" t="n">
        <v>1969</v>
      </c>
      <c r="B43" s="22" t="n">
        <v>-0.082414</v>
      </c>
      <c r="C43" s="22" t="n">
        <v>-0.05014</v>
      </c>
      <c r="D43" s="22" t="n">
        <v>0.06668499999999999</v>
      </c>
      <c r="E43" s="22" t="n">
        <v>0.061972</v>
      </c>
    </row>
    <row r="44">
      <c r="A44" t="n">
        <v>1970</v>
      </c>
      <c r="B44" s="22" t="n">
        <v>0.035611</v>
      </c>
      <c r="C44" s="22" t="n">
        <v>0.167547</v>
      </c>
      <c r="D44" s="22" t="n">
        <v>0.06390999999999999</v>
      </c>
      <c r="E44" s="22" t="n">
        <v>0.055703</v>
      </c>
    </row>
    <row r="45">
      <c r="A45" t="n">
        <v>1971</v>
      </c>
      <c r="B45" s="22" t="n">
        <v>0.142212</v>
      </c>
      <c r="C45" s="22" t="n">
        <v>0.097869</v>
      </c>
      <c r="D45" s="22" t="n">
        <v>0.043343</v>
      </c>
      <c r="E45" s="22" t="n">
        <v>0.032663</v>
      </c>
    </row>
    <row r="46">
      <c r="A46" t="n">
        <v>1972</v>
      </c>
      <c r="B46" s="22" t="n">
        <v>0.187554</v>
      </c>
      <c r="C46" s="22" t="n">
        <v>0.028184</v>
      </c>
      <c r="D46" s="22" t="n">
        <v>0.040618</v>
      </c>
      <c r="E46" s="22" t="n">
        <v>0.034063</v>
      </c>
    </row>
    <row r="47">
      <c r="A47" t="n">
        <v>1973</v>
      </c>
      <c r="B47" s="22" t="n">
        <v>-0.14308</v>
      </c>
      <c r="C47" s="22" t="n">
        <v>0.036587</v>
      </c>
      <c r="D47" s="22" t="n">
        <v>0.070354</v>
      </c>
      <c r="E47" s="22" t="n">
        <v>0.087059</v>
      </c>
    </row>
    <row r="48">
      <c r="A48" t="n">
        <v>1974</v>
      </c>
      <c r="B48" s="22" t="n">
        <v>-0.259018</v>
      </c>
      <c r="C48" s="22" t="n">
        <v>0.019886</v>
      </c>
      <c r="D48" s="22" t="n">
        <v>0.078458</v>
      </c>
      <c r="E48" s="22" t="n">
        <v>0.123377</v>
      </c>
    </row>
    <row r="49">
      <c r="A49" t="n">
        <v>1975</v>
      </c>
      <c r="B49" s="22" t="n">
        <v>0.369951</v>
      </c>
      <c r="C49" s="22" t="n">
        <v>0.036053</v>
      </c>
      <c r="D49" s="22" t="n">
        <v>0.057864</v>
      </c>
      <c r="E49" s="22" t="n">
        <v>0.069364</v>
      </c>
    </row>
    <row r="50">
      <c r="A50" t="n">
        <v>1976</v>
      </c>
      <c r="B50" s="22" t="n">
        <v>0.23831</v>
      </c>
      <c r="C50" s="22" t="n">
        <v>0.159846</v>
      </c>
      <c r="D50" s="22" t="n">
        <v>0.049766</v>
      </c>
      <c r="E50" s="22" t="n">
        <v>0.048649</v>
      </c>
    </row>
    <row r="51">
      <c r="A51" t="n">
        <v>1977</v>
      </c>
      <c r="B51" s="22" t="n">
        <v>-0.069797</v>
      </c>
      <c r="C51" s="22" t="n">
        <v>0.0129</v>
      </c>
      <c r="D51" s="22" t="n">
        <v>0.05261</v>
      </c>
      <c r="E51" s="22" t="n">
        <v>0.06701</v>
      </c>
    </row>
    <row r="52">
      <c r="A52" t="n">
        <v>1978</v>
      </c>
      <c r="B52" s="22" t="n">
        <v>0.065093</v>
      </c>
      <c r="C52" s="22" t="n">
        <v>-0.007776</v>
      </c>
      <c r="D52" s="22" t="n">
        <v>0.071783</v>
      </c>
      <c r="E52" s="22" t="n">
        <v>0.09017699999999999</v>
      </c>
    </row>
    <row r="53">
      <c r="A53" t="n">
        <v>1979</v>
      </c>
      <c r="B53" s="22" t="n">
        <v>0.185195</v>
      </c>
      <c r="C53" s="22" t="n">
        <v>0.006707</v>
      </c>
      <c r="D53" s="22" t="n">
        <v>0.100543</v>
      </c>
      <c r="E53" s="22" t="n">
        <v>0.132939</v>
      </c>
    </row>
    <row r="54">
      <c r="A54" t="n">
        <v>1980</v>
      </c>
      <c r="B54" s="22" t="n">
        <v>0.317352</v>
      </c>
      <c r="C54" s="22" t="n">
        <v>-0.029897</v>
      </c>
      <c r="D54" s="22" t="n">
        <v>0.113919</v>
      </c>
      <c r="E54" s="22" t="n">
        <v>0.125163</v>
      </c>
    </row>
    <row r="55">
      <c r="A55" t="n">
        <v>1981</v>
      </c>
      <c r="B55" s="22" t="n">
        <v>-0.047024</v>
      </c>
      <c r="C55" s="22" t="n">
        <v>0.081992</v>
      </c>
      <c r="D55" s="22" t="n">
        <v>0.140362</v>
      </c>
      <c r="E55" s="22" t="n">
        <v>0.089224</v>
      </c>
    </row>
    <row r="56">
      <c r="A56" t="n">
        <v>1982</v>
      </c>
      <c r="B56" s="22" t="n">
        <v>0.204191</v>
      </c>
      <c r="C56" s="22" t="n">
        <v>0.328145</v>
      </c>
      <c r="D56" s="22" t="n">
        <v>0.1109</v>
      </c>
      <c r="E56" s="22" t="n">
        <v>0.038298</v>
      </c>
    </row>
    <row r="57">
      <c r="A57" t="n">
        <v>1983</v>
      </c>
      <c r="B57" s="22" t="n">
        <v>0.223372</v>
      </c>
      <c r="C57" s="22" t="n">
        <v>0.032002</v>
      </c>
      <c r="D57" s="22" t="n">
        <v>0.0895</v>
      </c>
      <c r="E57" s="22" t="n">
        <v>0.03791</v>
      </c>
    </row>
    <row r="58">
      <c r="A58" t="n">
        <v>1984</v>
      </c>
      <c r="B58" s="22" t="n">
        <v>0.061461</v>
      </c>
      <c r="C58" s="22" t="n">
        <v>0.137334</v>
      </c>
      <c r="D58" s="22" t="n">
        <v>0.0992</v>
      </c>
      <c r="E58" s="22" t="n">
        <v>0.039487</v>
      </c>
    </row>
    <row r="59">
      <c r="A59" t="n">
        <v>1985</v>
      </c>
      <c r="B59" s="22" t="n">
        <v>0.312351</v>
      </c>
      <c r="C59" s="22" t="n">
        <v>0.257125</v>
      </c>
      <c r="D59" s="22" t="n">
        <v>0.0772</v>
      </c>
      <c r="E59" s="22" t="n">
        <v>0.037987</v>
      </c>
    </row>
    <row r="60">
      <c r="A60" t="n">
        <v>1986</v>
      </c>
      <c r="B60" s="22" t="n">
        <v>0.184946</v>
      </c>
      <c r="C60" s="22" t="n">
        <v>0.242842</v>
      </c>
      <c r="D60" s="22" t="n">
        <v>0.0615</v>
      </c>
      <c r="E60" s="22" t="n">
        <v>0.010979</v>
      </c>
    </row>
    <row r="61">
      <c r="A61" t="n">
        <v>1987</v>
      </c>
      <c r="B61" s="22" t="n">
        <v>0.058127</v>
      </c>
      <c r="C61" s="22" t="n">
        <v>-0.049605</v>
      </c>
      <c r="D61" s="22" t="n">
        <v>0.0596</v>
      </c>
      <c r="E61" s="22" t="n">
        <v>0.044344</v>
      </c>
    </row>
    <row r="62">
      <c r="A62" t="n">
        <v>1988</v>
      </c>
      <c r="B62" s="22" t="n">
        <v>0.165372</v>
      </c>
      <c r="C62" s="22" t="n">
        <v>0.082236</v>
      </c>
      <c r="D62" s="22" t="n">
        <v>0.0689</v>
      </c>
      <c r="E62" s="22" t="n">
        <v>0.044194</v>
      </c>
    </row>
    <row r="63">
      <c r="A63" t="n">
        <v>1989</v>
      </c>
      <c r="B63" s="22" t="n">
        <v>0.314752</v>
      </c>
      <c r="C63" s="22" t="n">
        <v>0.176936</v>
      </c>
      <c r="D63" s="22" t="n">
        <v>0.0839</v>
      </c>
      <c r="E63" s="22" t="n">
        <v>0.046473</v>
      </c>
    </row>
    <row r="64">
      <c r="A64" t="n">
        <v>1990</v>
      </c>
      <c r="B64" s="22" t="n">
        <v>-0.030645</v>
      </c>
      <c r="C64" s="22" t="n">
        <v>0.062354</v>
      </c>
      <c r="D64" s="22" t="n">
        <v>0.0775</v>
      </c>
      <c r="E64" s="22" t="n">
        <v>0.061063</v>
      </c>
    </row>
    <row r="65">
      <c r="A65" t="n">
        <v>1991</v>
      </c>
      <c r="B65" s="22" t="n">
        <v>0.302348</v>
      </c>
      <c r="C65" s="22" t="n">
        <v>0.150045</v>
      </c>
      <c r="D65" s="22" t="n">
        <v>0.0554</v>
      </c>
      <c r="E65" s="22" t="n">
        <v>0.030643</v>
      </c>
    </row>
    <row r="66">
      <c r="A66" t="n">
        <v>1992</v>
      </c>
      <c r="B66" s="22" t="n">
        <v>0.074937</v>
      </c>
      <c r="C66" s="22" t="n">
        <v>0.093616</v>
      </c>
      <c r="D66" s="22" t="n">
        <v>0.0351</v>
      </c>
      <c r="E66" s="22" t="n">
        <v>0.029007</v>
      </c>
    </row>
    <row r="67">
      <c r="A67" t="n">
        <v>1993</v>
      </c>
      <c r="B67" s="22" t="n">
        <v>0.099671</v>
      </c>
      <c r="C67" s="22" t="n">
        <v>0.14211</v>
      </c>
      <c r="D67" s="22" t="n">
        <v>0.0307</v>
      </c>
      <c r="E67" s="22" t="n">
        <v>0.027484</v>
      </c>
    </row>
    <row r="68">
      <c r="A68" t="n">
        <v>1994</v>
      </c>
      <c r="B68" s="22" t="n">
        <v>0.013259</v>
      </c>
      <c r="C68" s="22" t="n">
        <v>-0.08036699999999999</v>
      </c>
      <c r="D68" s="22" t="n">
        <v>0.0437</v>
      </c>
      <c r="E68" s="22" t="n">
        <v>0.026749</v>
      </c>
    </row>
    <row r="69">
      <c r="A69" t="n">
        <v>1995</v>
      </c>
      <c r="B69" s="22" t="n">
        <v>0.371952</v>
      </c>
      <c r="C69" s="22" t="n">
        <v>0.234808</v>
      </c>
      <c r="D69" s="22" t="n">
        <v>0.0566</v>
      </c>
      <c r="E69" s="22" t="n">
        <v>0.025384</v>
      </c>
    </row>
    <row r="70">
      <c r="A70" t="n">
        <v>1996</v>
      </c>
      <c r="B70" s="22" t="n">
        <v>0.22681</v>
      </c>
      <c r="C70" s="22" t="n">
        <v>0.014286</v>
      </c>
      <c r="D70" s="22" t="n">
        <v>0.0515</v>
      </c>
      <c r="E70" s="22" t="n">
        <v>0.033225</v>
      </c>
    </row>
    <row r="71">
      <c r="A71" t="n">
        <v>1997</v>
      </c>
      <c r="B71" s="22" t="n">
        <v>0.331037</v>
      </c>
      <c r="C71" s="22" t="n">
        <v>0.09939099999999999</v>
      </c>
      <c r="D71" s="22" t="n">
        <v>0.052</v>
      </c>
      <c r="E71" s="22" t="n">
        <v>0.017024</v>
      </c>
    </row>
    <row r="72">
      <c r="A72" t="n">
        <v>1998</v>
      </c>
      <c r="B72" s="22" t="n">
        <v>0.28338</v>
      </c>
      <c r="C72" s="22" t="n">
        <v>0.149214</v>
      </c>
      <c r="D72" s="22" t="n">
        <v>0.0491</v>
      </c>
      <c r="E72" s="22" t="n">
        <v>0.016119</v>
      </c>
    </row>
    <row r="73">
      <c r="A73" t="n">
        <v>1999</v>
      </c>
      <c r="B73" s="22" t="n">
        <v>0.208854</v>
      </c>
      <c r="C73" s="22" t="n">
        <v>-0.082542</v>
      </c>
      <c r="D73" s="22" t="n">
        <v>0.0478</v>
      </c>
      <c r="E73" s="22" t="n">
        <v>0.026846</v>
      </c>
    </row>
    <row r="74">
      <c r="A74" t="n">
        <v>2000</v>
      </c>
      <c r="B74" s="22" t="n">
        <v>-0.090318</v>
      </c>
      <c r="C74" s="22" t="n">
        <v>0.166553</v>
      </c>
      <c r="D74" s="22" t="n">
        <v>0.06</v>
      </c>
      <c r="E74" s="22" t="n">
        <v>0.033868</v>
      </c>
    </row>
    <row r="75">
      <c r="A75" t="n">
        <v>2001</v>
      </c>
      <c r="B75" s="22" t="n">
        <v>-0.118498</v>
      </c>
      <c r="C75" s="22" t="n">
        <v>0.055722</v>
      </c>
      <c r="D75" s="22" t="n">
        <v>0.0348</v>
      </c>
      <c r="E75" s="22" t="n">
        <v>0.015517</v>
      </c>
    </row>
    <row r="76">
      <c r="A76" t="n">
        <v>2002</v>
      </c>
      <c r="B76" s="22" t="n">
        <v>-0.21966</v>
      </c>
      <c r="C76" s="22" t="n">
        <v>0.151164</v>
      </c>
      <c r="D76" s="22" t="n">
        <v>0.0164</v>
      </c>
      <c r="E76" s="22" t="n">
        <v>0.023769</v>
      </c>
    </row>
    <row r="77">
      <c r="A77" t="n">
        <v>2003</v>
      </c>
      <c r="B77" s="22" t="n">
        <v>0.283558</v>
      </c>
      <c r="C77" s="22" t="n">
        <v>0.003753</v>
      </c>
      <c r="D77" s="22" t="n">
        <v>0.0103</v>
      </c>
      <c r="E77" s="22" t="n">
        <v>0.018795</v>
      </c>
    </row>
    <row r="78">
      <c r="A78" t="n">
        <v>2004</v>
      </c>
      <c r="B78" s="22" t="n">
        <v>0.107428</v>
      </c>
      <c r="C78" s="22" t="n">
        <v>0.044907</v>
      </c>
      <c r="D78" s="22" t="n">
        <v>0.014</v>
      </c>
      <c r="E78" s="22" t="n">
        <v>0.032556</v>
      </c>
    </row>
    <row r="79">
      <c r="A79" t="n">
        <v>2005</v>
      </c>
      <c r="B79" s="22" t="n">
        <v>0.048345</v>
      </c>
      <c r="C79" s="22" t="n">
        <v>0.028675</v>
      </c>
      <c r="D79" s="22" t="n">
        <v>0.0322</v>
      </c>
      <c r="E79" s="22" t="n">
        <v>0.034157</v>
      </c>
    </row>
    <row r="80">
      <c r="A80" t="n">
        <v>2006</v>
      </c>
      <c r="B80" s="22" t="n">
        <v>0.156126</v>
      </c>
      <c r="C80" s="22" t="n">
        <v>0.01961</v>
      </c>
      <c r="D80" s="22" t="n">
        <v>0.0485</v>
      </c>
      <c r="E80" s="22" t="n">
        <v>0.025406</v>
      </c>
    </row>
    <row r="81">
      <c r="A81" t="n">
        <v>2007</v>
      </c>
      <c r="B81" s="22" t="n">
        <v>0.054847</v>
      </c>
      <c r="C81" s="22" t="n">
        <v>0.102099</v>
      </c>
      <c r="D81" s="22" t="n">
        <v>0.0448</v>
      </c>
      <c r="E81" s="22" t="n">
        <v>0.040813</v>
      </c>
    </row>
    <row r="82">
      <c r="A82" t="n">
        <v>2008</v>
      </c>
      <c r="B82" s="22" t="n">
        <v>-0.365523</v>
      </c>
      <c r="C82" s="22" t="n">
        <v>0.201013</v>
      </c>
      <c r="D82" s="22" t="n">
        <v>0.014</v>
      </c>
      <c r="E82" s="22" t="n">
        <v>0.000914</v>
      </c>
    </row>
    <row r="83">
      <c r="A83" t="n">
        <v>2009</v>
      </c>
      <c r="B83" s="22" t="n">
        <v>0.259352</v>
      </c>
      <c r="C83" s="22" t="n">
        <v>-0.111167</v>
      </c>
      <c r="D83" s="22" t="n">
        <v>0.0015</v>
      </c>
      <c r="E83" s="22" t="n">
        <v>0.027213</v>
      </c>
    </row>
    <row r="84">
      <c r="A84" t="n">
        <v>2010</v>
      </c>
      <c r="B84" s="22" t="n">
        <v>0.148211</v>
      </c>
      <c r="C84" s="22" t="n">
        <v>0.084629</v>
      </c>
      <c r="D84" s="22" t="n">
        <v>0.0014</v>
      </c>
      <c r="E84" s="22" t="n">
        <v>0.014957</v>
      </c>
    </row>
    <row r="85">
      <c r="A85" t="n">
        <v>2011</v>
      </c>
      <c r="B85" s="22" t="n">
        <v>0.020984</v>
      </c>
      <c r="C85" s="22" t="n">
        <v>0.160353</v>
      </c>
      <c r="D85" s="22" t="n">
        <v>0.0005</v>
      </c>
      <c r="E85" s="22" t="n">
        <v>0.029624</v>
      </c>
    </row>
    <row r="86">
      <c r="A86" t="n">
        <v>2012</v>
      </c>
      <c r="B86" s="22" t="n">
        <v>0.158906</v>
      </c>
      <c r="C86" s="22" t="n">
        <v>0.029716</v>
      </c>
      <c r="D86" s="22" t="n">
        <v>0.0009</v>
      </c>
      <c r="E86" s="22" t="n">
        <v>0.01741</v>
      </c>
    </row>
    <row r="87">
      <c r="A87" t="n">
        <v>2013</v>
      </c>
      <c r="B87" s="22" t="n">
        <v>0.321451</v>
      </c>
      <c r="C87" s="22" t="n">
        <v>-0.091046</v>
      </c>
      <c r="D87" s="22" t="n">
        <v>0.0005999999999999999</v>
      </c>
      <c r="E87" s="22" t="n">
        <v>0.015017</v>
      </c>
    </row>
    <row r="88">
      <c r="A88" t="n">
        <v>2014</v>
      </c>
      <c r="B88" s="22" t="n">
        <v>0.135244</v>
      </c>
      <c r="C88" s="22" t="n">
        <v>0.107462</v>
      </c>
      <c r="D88" s="22" t="n">
        <v>0.0003</v>
      </c>
      <c r="E88" s="22" t="n">
        <v>0.007565</v>
      </c>
    </row>
    <row r="89">
      <c r="A89" t="n">
        <v>2015</v>
      </c>
      <c r="B89" s="22" t="n">
        <v>0.013789</v>
      </c>
      <c r="C89" s="22" t="n">
        <v>0.012843</v>
      </c>
      <c r="D89" s="22" t="n">
        <v>0.0005</v>
      </c>
      <c r="E89" s="22" t="n">
        <v>0.007295</v>
      </c>
    </row>
    <row r="90">
      <c r="A90" t="n">
        <v>2016</v>
      </c>
      <c r="B90" s="22" t="n">
        <v>0.117731</v>
      </c>
      <c r="C90" s="22" t="n">
        <v>0.006906</v>
      </c>
      <c r="D90" s="22" t="n">
        <v>0.0032</v>
      </c>
      <c r="E90" s="22" t="n">
        <v>0.020746</v>
      </c>
    </row>
    <row r="91">
      <c r="A91" t="n">
        <v>2017</v>
      </c>
      <c r="B91" s="22" t="n">
        <v>0.216055</v>
      </c>
      <c r="C91" s="22" t="n">
        <v>0.028017</v>
      </c>
      <c r="D91" s="22" t="n">
        <v>0.0095</v>
      </c>
      <c r="E91" s="22" t="n">
        <v>0.021091</v>
      </c>
    </row>
    <row r="92">
      <c r="A92" t="n">
        <v>2018</v>
      </c>
      <c r="B92" s="22" t="n">
        <v>-0.042269</v>
      </c>
      <c r="C92" s="22" t="n">
        <v>-0.000167</v>
      </c>
      <c r="D92" s="22" t="n">
        <v>0.0197</v>
      </c>
      <c r="E92" s="22" t="n">
        <v>0.019102</v>
      </c>
    </row>
    <row r="93">
      <c r="A93" t="n">
        <v>2019</v>
      </c>
      <c r="B93" s="22" t="n">
        <v>0.312117</v>
      </c>
      <c r="C93" s="22" t="n">
        <v>0.096356</v>
      </c>
      <c r="D93" s="22" t="n">
        <v>0.0211</v>
      </c>
      <c r="E93" s="22" t="n">
        <v>0.022851</v>
      </c>
    </row>
    <row r="94">
      <c r="A94" t="n">
        <v>2020</v>
      </c>
      <c r="B94" s="22" t="n">
        <v>0.180232</v>
      </c>
      <c r="C94" s="22" t="n">
        <v>0.113319</v>
      </c>
      <c r="D94" s="22" t="n">
        <v>0.0036</v>
      </c>
      <c r="E94" s="22" t="n">
        <v>0.01362</v>
      </c>
    </row>
    <row r="95">
      <c r="A95" t="n">
        <v>2021</v>
      </c>
      <c r="B95" s="22" t="n">
        <v>0.284689</v>
      </c>
      <c r="C95" s="22" t="n">
        <v>-0.04416</v>
      </c>
      <c r="D95" s="22" t="n">
        <v>0.0004</v>
      </c>
      <c r="E95" s="22" t="n">
        <v>0.070364</v>
      </c>
    </row>
    <row r="96">
      <c r="A96" t="n">
        <v>2022</v>
      </c>
      <c r="B96" s="22" t="n">
        <v>-0.180375</v>
      </c>
      <c r="C96" s="22" t="n">
        <v>-0.178282</v>
      </c>
      <c r="D96" s="22" t="n">
        <v>0.0209</v>
      </c>
      <c r="E96" s="22" t="n">
        <v>0.064544</v>
      </c>
    </row>
    <row r="97">
      <c r="A97" t="n">
        <v>2023</v>
      </c>
      <c r="B97" s="22" t="n">
        <v>0.260607</v>
      </c>
      <c r="C97" s="22" t="n">
        <v>0.0388</v>
      </c>
      <c r="D97" s="22" t="n">
        <v>0.0528</v>
      </c>
      <c r="E97" s="22" t="n">
        <v>0.033521</v>
      </c>
    </row>
    <row r="98">
      <c r="A98" t="n">
        <v>2024</v>
      </c>
      <c r="B98" s="22" t="n">
        <v>0.248786</v>
      </c>
      <c r="C98" s="22" t="n">
        <v>-0.016372</v>
      </c>
      <c r="D98" s="22" t="n">
        <v>0.0518</v>
      </c>
      <c r="E98" s="22" t="n">
        <v>0.028881</v>
      </c>
    </row>
    <row r="99">
      <c r="A99" t="n">
        <v>2025</v>
      </c>
      <c r="B99" s="22" t="n">
        <v>0.177237</v>
      </c>
      <c r="C99" s="22" t="n">
        <v>0.077955</v>
      </c>
      <c r="D99" s="22" t="n">
        <v>0.0421</v>
      </c>
      <c r="E99" s="22" t="n">
        <v>0.027351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8" t="inlineStr">
        <is>
          <t>age</t>
        </is>
      </c>
      <c r="B1" s="18" t="inlineStr">
        <is>
          <t>male_death_probability</t>
        </is>
      </c>
      <c r="C1" s="18" t="inlineStr">
        <is>
          <t>female_death_probability</t>
        </is>
      </c>
      <c r="E1" t="inlineStr">
        <is>
          <t>Probability of dying within a year at each age. US Social Security period life table for 2023 (as used in the 2026 Trustees Report). The Monte Carlo shifts it by the extra years of life expectancy set on the monte_carlo tab.</t>
        </is>
      </c>
    </row>
    <row r="2">
      <c r="A2" t="n">
        <v>0</v>
      </c>
      <c r="B2" t="n">
        <v>0.006015</v>
      </c>
      <c r="C2" t="n">
        <v>0.005125</v>
      </c>
    </row>
    <row r="3">
      <c r="A3" t="n">
        <v>1</v>
      </c>
      <c r="B3" t="n">
        <v>0.000479</v>
      </c>
      <c r="C3" t="n">
        <v>0.000392</v>
      </c>
    </row>
    <row r="4">
      <c r="A4" t="n">
        <v>2</v>
      </c>
      <c r="B4" t="n">
        <v>0.00032</v>
      </c>
      <c r="C4" t="n">
        <v>0.000229</v>
      </c>
    </row>
    <row r="5">
      <c r="A5" t="n">
        <v>3</v>
      </c>
      <c r="B5" t="n">
        <v>0.000249</v>
      </c>
      <c r="C5" t="n">
        <v>0.000188</v>
      </c>
    </row>
    <row r="6">
      <c r="A6" t="n">
        <v>4</v>
      </c>
      <c r="B6" t="n">
        <v>0.000194</v>
      </c>
      <c r="C6" t="n">
        <v>0.000155</v>
      </c>
    </row>
    <row r="7">
      <c r="A7" t="n">
        <v>5</v>
      </c>
      <c r="B7" t="n">
        <v>0.000159</v>
      </c>
      <c r="C7" t="n">
        <v>0.000133</v>
      </c>
    </row>
    <row r="8">
      <c r="A8" t="n">
        <v>6</v>
      </c>
      <c r="B8" t="n">
        <v>0.000137</v>
      </c>
      <c r="C8" t="n">
        <v>0.000115</v>
      </c>
    </row>
    <row r="9">
      <c r="A9" t="n">
        <v>7</v>
      </c>
      <c r="B9" t="n">
        <v>0.000125</v>
      </c>
      <c r="C9" t="n">
        <v>0.000105</v>
      </c>
    </row>
    <row r="10">
      <c r="A10" t="n">
        <v>8</v>
      </c>
      <c r="B10" t="n">
        <v>0.00012</v>
      </c>
      <c r="C10" t="n">
        <v>0.0001</v>
      </c>
    </row>
    <row r="11">
      <c r="A11" t="n">
        <v>9</v>
      </c>
      <c r="B11" t="n">
        <v>0.00012</v>
      </c>
      <c r="C11" t="n">
        <v>9.8e-05</v>
      </c>
    </row>
    <row r="12">
      <c r="A12" t="n">
        <v>10</v>
      </c>
      <c r="B12" t="n">
        <v>0.000125</v>
      </c>
      <c r="C12" t="n">
        <v>0.000101</v>
      </c>
    </row>
    <row r="13">
      <c r="A13" t="n">
        <v>11</v>
      </c>
      <c r="B13" t="n">
        <v>0.00014</v>
      </c>
      <c r="C13" t="n">
        <v>0.000111</v>
      </c>
    </row>
    <row r="14">
      <c r="A14" t="n">
        <v>12</v>
      </c>
      <c r="B14" t="n">
        <v>0.000173</v>
      </c>
      <c r="C14" t="n">
        <v>0.000126</v>
      </c>
    </row>
    <row r="15">
      <c r="A15" t="n">
        <v>13</v>
      </c>
      <c r="B15" t="n">
        <v>0.000233</v>
      </c>
      <c r="C15" t="n">
        <v>0.000152</v>
      </c>
    </row>
    <row r="16">
      <c r="A16" t="n">
        <v>14</v>
      </c>
      <c r="B16" t="n">
        <v>0.000327</v>
      </c>
      <c r="C16" t="n">
        <v>0.000188</v>
      </c>
    </row>
    <row r="17">
      <c r="A17" t="n">
        <v>15</v>
      </c>
      <c r="B17" t="n">
        <v>0.000463</v>
      </c>
      <c r="C17" t="n">
        <v>0.000229</v>
      </c>
    </row>
    <row r="18">
      <c r="A18" t="n">
        <v>16</v>
      </c>
      <c r="B18" t="n">
        <v>0.000634</v>
      </c>
      <c r="C18" t="n">
        <v>0.000273</v>
      </c>
    </row>
    <row r="19">
      <c r="A19" t="n">
        <v>17</v>
      </c>
      <c r="B19" t="n">
        <v>0.000819</v>
      </c>
      <c r="C19" t="n">
        <v>0.000323</v>
      </c>
    </row>
    <row r="20">
      <c r="A20" t="n">
        <v>18</v>
      </c>
      <c r="B20" t="n">
        <v>0.0009990000000000001</v>
      </c>
      <c r="C20" t="n">
        <v>0.000372</v>
      </c>
    </row>
    <row r="21">
      <c r="A21" t="n">
        <v>19</v>
      </c>
      <c r="B21" t="n">
        <v>0.001138</v>
      </c>
      <c r="C21" t="n">
        <v>0.00041</v>
      </c>
    </row>
    <row r="22">
      <c r="A22" t="n">
        <v>20</v>
      </c>
      <c r="B22" t="n">
        <v>0.001235</v>
      </c>
      <c r="C22" t="n">
        <v>0.000441</v>
      </c>
    </row>
    <row r="23">
      <c r="A23" t="n">
        <v>21</v>
      </c>
      <c r="B23" t="n">
        <v>0.001315</v>
      </c>
      <c r="C23" t="n">
        <v>0.000476</v>
      </c>
    </row>
    <row r="24">
      <c r="A24" t="n">
        <v>22</v>
      </c>
      <c r="B24" t="n">
        <v>0.001378</v>
      </c>
      <c r="C24" t="n">
        <v>0.000513</v>
      </c>
    </row>
    <row r="25">
      <c r="A25" t="n">
        <v>23</v>
      </c>
      <c r="B25" t="n">
        <v>0.001439</v>
      </c>
      <c r="C25" t="n">
        <v>0.000546</v>
      </c>
    </row>
    <row r="26">
      <c r="A26" t="n">
        <v>24</v>
      </c>
      <c r="B26" t="n">
        <v>0.001509</v>
      </c>
      <c r="C26" t="n">
        <v>0.0005820000000000001</v>
      </c>
    </row>
    <row r="27">
      <c r="A27" t="n">
        <v>25</v>
      </c>
      <c r="B27" t="n">
        <v>0.001595</v>
      </c>
      <c r="C27" t="n">
        <v>0.0006089999999999999</v>
      </c>
    </row>
    <row r="28">
      <c r="A28" t="n">
        <v>26</v>
      </c>
      <c r="B28" t="n">
        <v>0.001685</v>
      </c>
      <c r="C28" t="n">
        <v>0.000641</v>
      </c>
    </row>
    <row r="29">
      <c r="A29" t="n">
        <v>27</v>
      </c>
      <c r="B29" t="n">
        <v>0.001783</v>
      </c>
      <c r="C29" t="n">
        <v>0.000683</v>
      </c>
    </row>
    <row r="30">
      <c r="A30" t="n">
        <v>28</v>
      </c>
      <c r="B30" t="n">
        <v>0.001876</v>
      </c>
      <c r="C30" t="n">
        <v>0.00074</v>
      </c>
    </row>
    <row r="31">
      <c r="A31" t="n">
        <v>29</v>
      </c>
      <c r="B31" t="n">
        <v>0.00197</v>
      </c>
      <c r="C31" t="n">
        <v>0.000808</v>
      </c>
    </row>
    <row r="32">
      <c r="A32" t="n">
        <v>30</v>
      </c>
      <c r="B32" t="n">
        <v>0.002085</v>
      </c>
      <c r="C32" t="n">
        <v>0.000878</v>
      </c>
    </row>
    <row r="33">
      <c r="A33" t="n">
        <v>31</v>
      </c>
      <c r="B33" t="n">
        <v>0.002202</v>
      </c>
      <c r="C33" t="n">
        <v>0.000947</v>
      </c>
    </row>
    <row r="34">
      <c r="A34" t="n">
        <v>32</v>
      </c>
      <c r="B34" t="n">
        <v>0.002308</v>
      </c>
      <c r="C34" t="n">
        <v>0.001018</v>
      </c>
    </row>
    <row r="35">
      <c r="A35" t="n">
        <v>33</v>
      </c>
      <c r="B35" t="n">
        <v>0.002407</v>
      </c>
      <c r="C35" t="n">
        <v>0.001089</v>
      </c>
    </row>
    <row r="36">
      <c r="A36" t="n">
        <v>34</v>
      </c>
      <c r="B36" t="n">
        <v>0.00249</v>
      </c>
      <c r="C36" t="n">
        <v>0.001154</v>
      </c>
    </row>
    <row r="37">
      <c r="A37" t="n">
        <v>35</v>
      </c>
      <c r="B37" t="n">
        <v>0.002577</v>
      </c>
      <c r="C37" t="n">
        <v>0.001209</v>
      </c>
    </row>
    <row r="38">
      <c r="A38" t="n">
        <v>36</v>
      </c>
      <c r="B38" t="n">
        <v>0.002665</v>
      </c>
      <c r="C38" t="n">
        <v>0.001263</v>
      </c>
    </row>
    <row r="39">
      <c r="A39" t="n">
        <v>37</v>
      </c>
      <c r="B39" t="n">
        <v>0.002764</v>
      </c>
      <c r="C39" t="n">
        <v>0.001347</v>
      </c>
    </row>
    <row r="40">
      <c r="A40" t="n">
        <v>38</v>
      </c>
      <c r="B40" t="n">
        <v>0.002864</v>
      </c>
      <c r="C40" t="n">
        <v>0.001438</v>
      </c>
    </row>
    <row r="41">
      <c r="A41" t="n">
        <v>39</v>
      </c>
      <c r="B41" t="n">
        <v>0.002987</v>
      </c>
      <c r="C41" t="n">
        <v>0.001533</v>
      </c>
    </row>
    <row r="42">
      <c r="A42" t="n">
        <v>40</v>
      </c>
      <c r="B42" t="n">
        <v>0.003115</v>
      </c>
      <c r="C42" t="n">
        <v>0.001643</v>
      </c>
    </row>
    <row r="43">
      <c r="A43" t="n">
        <v>41</v>
      </c>
      <c r="B43" t="n">
        <v>0.003253</v>
      </c>
      <c r="C43" t="n">
        <v>0.001742</v>
      </c>
    </row>
    <row r="44">
      <c r="A44" t="n">
        <v>42</v>
      </c>
      <c r="B44" t="n">
        <v>0.003419</v>
      </c>
      <c r="C44" t="n">
        <v>0.001845</v>
      </c>
    </row>
    <row r="45">
      <c r="A45" t="n">
        <v>43</v>
      </c>
      <c r="B45" t="n">
        <v>0.0036</v>
      </c>
      <c r="C45" t="n">
        <v>0.001954</v>
      </c>
    </row>
    <row r="46">
      <c r="A46" t="n">
        <v>44</v>
      </c>
      <c r="B46" t="n">
        <v>0.003777</v>
      </c>
      <c r="C46" t="n">
        <v>0.002075</v>
      </c>
    </row>
    <row r="47">
      <c r="A47" t="n">
        <v>45</v>
      </c>
      <c r="B47" t="n">
        <v>0.003931</v>
      </c>
      <c r="C47" t="n">
        <v>0.002187</v>
      </c>
    </row>
    <row r="48">
      <c r="A48" t="n">
        <v>46</v>
      </c>
      <c r="B48" t="n">
        <v>0.004073</v>
      </c>
      <c r="C48" t="n">
        <v>0.002306</v>
      </c>
    </row>
    <row r="49">
      <c r="A49" t="n">
        <v>47</v>
      </c>
      <c r="B49" t="n">
        <v>0.004245</v>
      </c>
      <c r="C49" t="n">
        <v>0.002438</v>
      </c>
    </row>
    <row r="50">
      <c r="A50" t="n">
        <v>48</v>
      </c>
      <c r="B50" t="n">
        <v>0.004477</v>
      </c>
      <c r="C50" t="n">
        <v>0.002595</v>
      </c>
    </row>
    <row r="51">
      <c r="A51" t="n">
        <v>49</v>
      </c>
      <c r="B51" t="n">
        <v>0.004795</v>
      </c>
      <c r="C51" t="n">
        <v>0.002791</v>
      </c>
    </row>
    <row r="52">
      <c r="A52" t="n">
        <v>50</v>
      </c>
      <c r="B52" t="n">
        <v>0.005126</v>
      </c>
      <c r="C52" t="n">
        <v>0.00303</v>
      </c>
    </row>
    <row r="53">
      <c r="A53" t="n">
        <v>51</v>
      </c>
      <c r="B53" t="n">
        <v>0.005496</v>
      </c>
      <c r="C53" t="n">
        <v>0.003288</v>
      </c>
    </row>
    <row r="54">
      <c r="A54" t="n">
        <v>52</v>
      </c>
      <c r="B54" t="n">
        <v>0.005917</v>
      </c>
      <c r="C54" t="n">
        <v>0.003554</v>
      </c>
    </row>
    <row r="55">
      <c r="A55" t="n">
        <v>53</v>
      </c>
      <c r="B55" t="n">
        <v>0.006404</v>
      </c>
      <c r="C55" t="n">
        <v>0.003847</v>
      </c>
    </row>
    <row r="56">
      <c r="A56" t="n">
        <v>54</v>
      </c>
      <c r="B56" t="n">
        <v>0.006923</v>
      </c>
      <c r="C56" t="n">
        <v>0.004172</v>
      </c>
    </row>
    <row r="57">
      <c r="A57" t="n">
        <v>55</v>
      </c>
      <c r="B57" t="n">
        <v>0.007491</v>
      </c>
      <c r="C57" t="n">
        <v>0.004532</v>
      </c>
    </row>
    <row r="58">
      <c r="A58" t="n">
        <v>56</v>
      </c>
      <c r="B58" t="n">
        <v>0.008173</v>
      </c>
      <c r="C58" t="n">
        <v>0.004923</v>
      </c>
    </row>
    <row r="59">
      <c r="A59" t="n">
        <v>57</v>
      </c>
      <c r="B59" t="n">
        <v>0.008938</v>
      </c>
      <c r="C59" t="n">
        <v>0.005365</v>
      </c>
    </row>
    <row r="60">
      <c r="A60" t="n">
        <v>58</v>
      </c>
      <c r="B60" t="n">
        <v>0.009714</v>
      </c>
      <c r="C60" t="n">
        <v>0.005815</v>
      </c>
    </row>
    <row r="61">
      <c r="A61" t="n">
        <v>59</v>
      </c>
      <c r="B61" t="n">
        <v>0.010494</v>
      </c>
      <c r="C61" t="n">
        <v>0.006333</v>
      </c>
    </row>
    <row r="62">
      <c r="A62" t="n">
        <v>60</v>
      </c>
      <c r="B62" t="n">
        <v>0.011337</v>
      </c>
      <c r="C62" t="n">
        <v>0.006923</v>
      </c>
    </row>
    <row r="63">
      <c r="A63" t="n">
        <v>61</v>
      </c>
      <c r="B63" t="n">
        <v>0.012232</v>
      </c>
      <c r="C63" t="n">
        <v>0.007555</v>
      </c>
    </row>
    <row r="64">
      <c r="A64" t="n">
        <v>62</v>
      </c>
      <c r="B64" t="n">
        <v>0.013196</v>
      </c>
      <c r="C64" t="n">
        <v>0.00822</v>
      </c>
    </row>
    <row r="65">
      <c r="A65" t="n">
        <v>63</v>
      </c>
      <c r="B65" t="n">
        <v>0.014229</v>
      </c>
      <c r="C65" t="n">
        <v>0.008881</v>
      </c>
    </row>
    <row r="66">
      <c r="A66" t="n">
        <v>64</v>
      </c>
      <c r="B66" t="n">
        <v>0.015316</v>
      </c>
      <c r="C66" t="n">
        <v>0.009514</v>
      </c>
    </row>
    <row r="67">
      <c r="A67" t="n">
        <v>65</v>
      </c>
      <c r="B67" t="n">
        <v>0.016455</v>
      </c>
      <c r="C67" t="n">
        <v>0.010188</v>
      </c>
    </row>
    <row r="68">
      <c r="A68" t="n">
        <v>66</v>
      </c>
      <c r="B68" t="n">
        <v>0.017574</v>
      </c>
      <c r="C68" t="n">
        <v>0.01088</v>
      </c>
    </row>
    <row r="69">
      <c r="A69" t="n">
        <v>67</v>
      </c>
      <c r="B69" t="n">
        <v>0.018735</v>
      </c>
      <c r="C69" t="n">
        <v>0.011659</v>
      </c>
    </row>
    <row r="70">
      <c r="A70" t="n">
        <v>68</v>
      </c>
      <c r="B70" t="n">
        <v>0.019981</v>
      </c>
      <c r="C70" t="n">
        <v>0.012543</v>
      </c>
    </row>
    <row r="71">
      <c r="A71" t="n">
        <v>69</v>
      </c>
      <c r="B71" t="n">
        <v>0.021366</v>
      </c>
      <c r="C71" t="n">
        <v>0.013581</v>
      </c>
    </row>
    <row r="72">
      <c r="A72" t="n">
        <v>70</v>
      </c>
      <c r="B72" t="n">
        <v>0.022903</v>
      </c>
      <c r="C72" t="n">
        <v>0.014769</v>
      </c>
    </row>
    <row r="73">
      <c r="A73" t="n">
        <v>71</v>
      </c>
      <c r="B73" t="n">
        <v>0.024615</v>
      </c>
      <c r="C73" t="n">
        <v>0.016153</v>
      </c>
    </row>
    <row r="74">
      <c r="A74" t="n">
        <v>72</v>
      </c>
      <c r="B74" t="n">
        <v>0.026504</v>
      </c>
      <c r="C74" t="n">
        <v>0.017705</v>
      </c>
    </row>
    <row r="75">
      <c r="A75" t="n">
        <v>73</v>
      </c>
      <c r="B75" t="n">
        <v>0.028648</v>
      </c>
      <c r="C75" t="n">
        <v>0.019495</v>
      </c>
    </row>
    <row r="76">
      <c r="A76" t="n">
        <v>74</v>
      </c>
      <c r="B76" t="n">
        <v>0.031071</v>
      </c>
      <c r="C76" t="n">
        <v>0.021533</v>
      </c>
    </row>
    <row r="77">
      <c r="A77" t="n">
        <v>75</v>
      </c>
      <c r="B77" t="n">
        <v>0.033802</v>
      </c>
      <c r="C77" t="n">
        <v>0.023846</v>
      </c>
    </row>
    <row r="78">
      <c r="A78" t="n">
        <v>76</v>
      </c>
      <c r="B78" t="n">
        <v>0.03701</v>
      </c>
      <c r="C78" t="n">
        <v>0.026458</v>
      </c>
    </row>
    <row r="79">
      <c r="A79" t="n">
        <v>77</v>
      </c>
      <c r="B79" t="n">
        <v>0.041158</v>
      </c>
      <c r="C79" t="n">
        <v>0.0297</v>
      </c>
    </row>
    <row r="80">
      <c r="A80" t="n">
        <v>78</v>
      </c>
      <c r="B80" t="n">
        <v>0.045461</v>
      </c>
      <c r="C80" t="n">
        <v>0.033135</v>
      </c>
    </row>
    <row r="81">
      <c r="A81" t="n">
        <v>79</v>
      </c>
      <c r="B81" t="n">
        <v>0.050346</v>
      </c>
      <c r="C81" t="n">
        <v>0.036982</v>
      </c>
    </row>
    <row r="82">
      <c r="A82" t="n">
        <v>80</v>
      </c>
      <c r="B82" t="n">
        <v>0.055633</v>
      </c>
      <c r="C82" t="n">
        <v>0.041183</v>
      </c>
    </row>
    <row r="83">
      <c r="A83" t="n">
        <v>81</v>
      </c>
      <c r="B83" t="n">
        <v>0.061757</v>
      </c>
      <c r="C83" t="n">
        <v>0.045959</v>
      </c>
    </row>
    <row r="84">
      <c r="A84" t="n">
        <v>82</v>
      </c>
      <c r="B84" t="n">
        <v>0.068358</v>
      </c>
      <c r="C84" t="n">
        <v>0.051282</v>
      </c>
    </row>
    <row r="85">
      <c r="A85" t="n">
        <v>83</v>
      </c>
      <c r="B85" t="n">
        <v>0.07542</v>
      </c>
      <c r="C85" t="n">
        <v>0.057262</v>
      </c>
    </row>
    <row r="86">
      <c r="A86" t="n">
        <v>84</v>
      </c>
      <c r="B86" t="n">
        <v>0.08336399999999999</v>
      </c>
      <c r="C86" t="n">
        <v>0.064107</v>
      </c>
    </row>
    <row r="87">
      <c r="A87" t="n">
        <v>85</v>
      </c>
      <c r="B87" t="n">
        <v>0.09268</v>
      </c>
      <c r="C87" t="n">
        <v>0.071752</v>
      </c>
    </row>
    <row r="88">
      <c r="A88" t="n">
        <v>86</v>
      </c>
      <c r="B88" t="n">
        <v>0.103459</v>
      </c>
      <c r="C88" t="n">
        <v>0.08049000000000001</v>
      </c>
    </row>
    <row r="89">
      <c r="A89" t="n">
        <v>87</v>
      </c>
      <c r="B89" t="n">
        <v>0.115502</v>
      </c>
      <c r="C89" t="n">
        <v>0.09056599999999999</v>
      </c>
    </row>
    <row r="90">
      <c r="A90" t="n">
        <v>88</v>
      </c>
      <c r="B90" t="n">
        <v>0.129018</v>
      </c>
      <c r="C90" t="n">
        <v>0.102204</v>
      </c>
    </row>
    <row r="91">
      <c r="A91" t="n">
        <v>89</v>
      </c>
      <c r="B91" t="n">
        <v>0.14381</v>
      </c>
      <c r="C91" t="n">
        <v>0.115178</v>
      </c>
    </row>
    <row r="92">
      <c r="A92" t="n">
        <v>90</v>
      </c>
      <c r="B92" t="n">
        <v>0.159458</v>
      </c>
      <c r="C92" t="n">
        <v>0.129176</v>
      </c>
    </row>
    <row r="93">
      <c r="A93" t="n">
        <v>91</v>
      </c>
      <c r="B93" t="n">
        <v>0.176551</v>
      </c>
      <c r="C93" t="n">
        <v>0.144229</v>
      </c>
    </row>
    <row r="94">
      <c r="A94" t="n">
        <v>92</v>
      </c>
      <c r="B94" t="n">
        <v>0.19536</v>
      </c>
      <c r="C94" t="n">
        <v>0.160353</v>
      </c>
    </row>
    <row r="95">
      <c r="A95" t="n">
        <v>93</v>
      </c>
      <c r="B95" t="n">
        <v>0.216286</v>
      </c>
      <c r="C95" t="n">
        <v>0.177635</v>
      </c>
    </row>
    <row r="96">
      <c r="A96" t="n">
        <v>94</v>
      </c>
      <c r="B96" t="n">
        <v>0.238799</v>
      </c>
      <c r="C96" t="n">
        <v>0.196502</v>
      </c>
    </row>
    <row r="97">
      <c r="A97" t="n">
        <v>95</v>
      </c>
      <c r="B97" t="n">
        <v>0.262268</v>
      </c>
      <c r="C97" t="n">
        <v>0.216846</v>
      </c>
    </row>
    <row r="98">
      <c r="A98" t="n">
        <v>96</v>
      </c>
      <c r="B98" t="n">
        <v>0.286291</v>
      </c>
      <c r="C98" t="n">
        <v>0.23875</v>
      </c>
    </row>
    <row r="99">
      <c r="A99" t="n">
        <v>97</v>
      </c>
      <c r="B99" t="n">
        <v>0.310944</v>
      </c>
      <c r="C99" t="n">
        <v>0.261359</v>
      </c>
    </row>
    <row r="100">
      <c r="A100" t="n">
        <v>98</v>
      </c>
      <c r="B100" t="n">
        <v>0.332325</v>
      </c>
      <c r="C100" t="n">
        <v>0.283899</v>
      </c>
    </row>
    <row r="101">
      <c r="A101" t="n">
        <v>99</v>
      </c>
      <c r="B101" t="n">
        <v>0.349036</v>
      </c>
      <c r="C101" t="n">
        <v>0.306491</v>
      </c>
    </row>
    <row r="102">
      <c r="A102" t="n">
        <v>100</v>
      </c>
      <c r="B102" t="n">
        <v>0.366568</v>
      </c>
      <c r="C102" t="n">
        <v>0.32968</v>
      </c>
    </row>
    <row r="103">
      <c r="A103" t="n">
        <v>101</v>
      </c>
      <c r="B103" t="n">
        <v>0.38496</v>
      </c>
      <c r="C103" t="n">
        <v>0.353333</v>
      </c>
    </row>
    <row r="104">
      <c r="A104" t="n">
        <v>102</v>
      </c>
      <c r="B104" t="n">
        <v>0.404252</v>
      </c>
      <c r="C104" t="n">
        <v>0.3773</v>
      </c>
    </row>
    <row r="105">
      <c r="A105" t="n">
        <v>103</v>
      </c>
      <c r="B105" t="n">
        <v>0.424488</v>
      </c>
      <c r="C105" t="n">
        <v>0.401416</v>
      </c>
    </row>
    <row r="106">
      <c r="A106" t="n">
        <v>104</v>
      </c>
      <c r="B106" t="n">
        <v>0.445712</v>
      </c>
      <c r="C106" t="n">
        <v>0.425501</v>
      </c>
    </row>
    <row r="107">
      <c r="A107" t="n">
        <v>105</v>
      </c>
      <c r="B107" t="n">
        <v>0.467998</v>
      </c>
      <c r="C107" t="n">
        <v>0.451031</v>
      </c>
    </row>
    <row r="108">
      <c r="A108" t="n">
        <v>106</v>
      </c>
      <c r="B108" t="n">
        <v>0.491398</v>
      </c>
      <c r="C108" t="n">
        <v>0.478092</v>
      </c>
    </row>
    <row r="109">
      <c r="A109" t="n">
        <v>107</v>
      </c>
      <c r="B109" t="n">
        <v>0.515968</v>
      </c>
      <c r="C109" t="n">
        <v>0.506778</v>
      </c>
    </row>
    <row r="110">
      <c r="A110" t="n">
        <v>108</v>
      </c>
      <c r="B110" t="n">
        <v>0.541766</v>
      </c>
      <c r="C110" t="n">
        <v>0.537185</v>
      </c>
    </row>
    <row r="111">
      <c r="A111" t="n">
        <v>109</v>
      </c>
      <c r="B111" t="n">
        <v>0.568854</v>
      </c>
      <c r="C111" t="n">
        <v>0.568854</v>
      </c>
    </row>
    <row r="112">
      <c r="A112" t="n">
        <v>110</v>
      </c>
      <c r="B112" t="n">
        <v>0.597297</v>
      </c>
      <c r="C112" t="n">
        <v>0.597297</v>
      </c>
    </row>
    <row r="113">
      <c r="A113" t="n">
        <v>111</v>
      </c>
      <c r="B113" t="n">
        <v>0.627162</v>
      </c>
      <c r="C113" t="n">
        <v>0.627162</v>
      </c>
    </row>
    <row r="114">
      <c r="A114" t="n">
        <v>112</v>
      </c>
      <c r="B114" t="n">
        <v>0.65852</v>
      </c>
      <c r="C114" t="n">
        <v>0.65852</v>
      </c>
    </row>
    <row r="115">
      <c r="A115" t="n">
        <v>113</v>
      </c>
      <c r="B115" t="n">
        <v>0.691446</v>
      </c>
      <c r="C115" t="n">
        <v>0.691446</v>
      </c>
    </row>
    <row r="116">
      <c r="A116" t="n">
        <v>114</v>
      </c>
      <c r="B116" t="n">
        <v>0.7260180000000001</v>
      </c>
      <c r="C116" t="n">
        <v>0.7260180000000001</v>
      </c>
    </row>
    <row r="117">
      <c r="A117" t="n">
        <v>115</v>
      </c>
      <c r="B117" t="n">
        <v>0.762319</v>
      </c>
      <c r="C117" t="n">
        <v>0.762319</v>
      </c>
    </row>
    <row r="118">
      <c r="A118" t="n">
        <v>116</v>
      </c>
      <c r="B118" t="n">
        <v>0.800435</v>
      </c>
      <c r="C118" t="n">
        <v>0.800435</v>
      </c>
    </row>
    <row r="119">
      <c r="A119" t="n">
        <v>117</v>
      </c>
      <c r="B119" t="n">
        <v>0.840457</v>
      </c>
      <c r="C119" t="n">
        <v>0.840457</v>
      </c>
    </row>
    <row r="120">
      <c r="A120" t="n">
        <v>118</v>
      </c>
      <c r="B120" t="n">
        <v>0.88248</v>
      </c>
      <c r="C120" t="n">
        <v>0.88248</v>
      </c>
    </row>
    <row r="121">
      <c r="A121" t="n">
        <v>119</v>
      </c>
      <c r="B121" t="n">
        <v>0.926604</v>
      </c>
      <c r="C121" t="n">
        <v>0.926604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4" customWidth="1" min="1" max="1"/>
    <col width="14" customWidth="1" min="2" max="2"/>
  </cols>
  <sheetData>
    <row r="1">
      <c r="A1" s="1" t="inlineStr">
        <is>
          <t>Monte Carlo: every scenario replayed through history</t>
        </is>
      </c>
    </row>
    <row r="2">
      <c r="A2" t="inlineStr">
        <is>
          <t>Each run replaces the Model tab's flat return and inflation with a stretch of real history (historical_returns tab) and draws lifetimes from the life_table tab. Change the yellow cells, then run the Monte Carlo (see README). Results are written below, in today's dollars.</t>
        </is>
      </c>
    </row>
    <row r="4">
      <c r="A4" s="2" t="inlineStr">
        <is>
          <t>SETTINGS</t>
        </is>
      </c>
    </row>
    <row r="5">
      <c r="A5" t="inlineStr">
        <is>
          <t>Stocks</t>
        </is>
      </c>
      <c r="B5" s="13" t="n">
        <v>0.6</v>
      </c>
      <c r="C5" t="inlineStr">
        <is>
          <t>Share of investments in stocks (historical_returns 'stocks' column)</t>
        </is>
      </c>
    </row>
    <row r="6">
      <c r="A6" t="inlineStr">
        <is>
          <t>Bonds</t>
        </is>
      </c>
      <c r="B6" s="13" t="n">
        <v>0.4</v>
      </c>
      <c r="C6" t="inlineStr">
        <is>
          <t>Share in bonds ('bonds' column)</t>
        </is>
      </c>
    </row>
    <row r="7">
      <c r="A7" t="inlineStr">
        <is>
          <t>Cash</t>
        </is>
      </c>
      <c r="B7" s="13" t="n">
        <v>0</v>
      </c>
      <c r="C7" t="inlineStr">
        <is>
          <t>Share in cash ('bills' column); the three should add to 100%</t>
        </is>
      </c>
    </row>
    <row r="8">
      <c r="A8" t="inlineStr">
        <is>
          <t>Random runs per scenario</t>
        </is>
      </c>
      <c r="B8" s="19" t="n">
        <v>1000</v>
      </c>
      <c r="C8" t="inlineStr">
        <is>
          <t>0 = historical starting years only</t>
        </is>
      </c>
    </row>
    <row r="9">
      <c r="A9" t="inlineStr">
        <is>
          <t>Block length for random runs (years)</t>
        </is>
      </c>
      <c r="B9" s="19" t="n">
        <v>10</v>
      </c>
      <c r="C9" t="inlineStr">
        <is>
          <t>Random runs stitch together blocks of this many consecutive years of history</t>
        </is>
      </c>
    </row>
    <row r="10">
      <c r="A10" t="inlineStr">
        <is>
          <t>Random seed</t>
        </is>
      </c>
      <c r="B10" s="19" t="n">
        <v>1</v>
      </c>
      <c r="C10" t="inlineStr">
        <is>
          <t>Change it to draw a different set of random runs</t>
        </is>
      </c>
    </row>
    <row r="11">
      <c r="A11" t="inlineStr">
        <is>
          <t>Scenarios to run</t>
        </is>
      </c>
      <c r="B11" s="19" t="inlineStr"/>
      <c r="C11" t="inlineStr">
        <is>
          <t>Comma-separated Model tab names; blank = every Model tab</t>
        </is>
      </c>
    </row>
    <row r="12">
      <c r="A12" t="inlineStr">
        <is>
          <t>Sam: extra years of life expectancy</t>
        </is>
      </c>
      <c r="B12" s="19" t="n">
        <v>3</v>
      </c>
      <c r="C12" t="inlineStr">
        <is>
          <t>Years added to the life table's average. Healthier, higher-income people live longer (often +3 to +6). More years is the cautious direction</t>
        </is>
      </c>
    </row>
    <row r="13">
      <c r="A13" t="inlineStr">
        <is>
          <t>Taylor: extra years of life expectancy</t>
        </is>
      </c>
      <c r="B13" s="19" t="n">
        <v>3</v>
      </c>
      <c r="C13" t="inlineStr">
        <is>
          <t>Same for person 2</t>
        </is>
      </c>
    </row>
    <row r="14">
      <c r="A14" t="inlineStr">
        <is>
          <t>Survivor spending</t>
        </is>
      </c>
      <c r="B14" s="13" t="n">
        <v>0.7</v>
      </c>
      <c r="C14" t="inlineStr">
        <is>
          <t>After the first death, household and other spending as a share of the couple's</t>
        </is>
      </c>
    </row>
    <row r="15">
      <c r="A15" t="inlineStr">
        <is>
          <t>Lifetimes drawn per historical start</t>
        </is>
      </c>
      <c r="B15" s="19" t="n">
        <v>20</v>
      </c>
      <c r="C15" t="inlineStr">
        <is>
          <t>Each historical start is run with this many random pairs of lifetimes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2026-09-30T13:25:20Z</dcterms:created>
  <dcterms:modified xsi:type="dcterms:W3CDTF">2026-09-30T13:25:20Z</dcterms:modified>
</cp:coreProperties>
</file>